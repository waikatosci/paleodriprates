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pwater" sheetId="1" state="visible" r:id="rId3"/>
    <sheet name="data_diction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<sst xmlns="http://schemas.openxmlformats.org/spreadsheetml/2006/main" count="167" uniqueCount="155">
  <si>
    <t xml:space="preserve">date</t>
  </si>
  <si>
    <t xml:space="preserve">DR (drops/min)</t>
  </si>
  <si>
    <t xml:space="preserve">DR gap (days)</t>
  </si>
  <si>
    <t xml:space="preserve">Ca (ppb)</t>
  </si>
  <si>
    <t xml:space="preserve">Co (ppb)</t>
  </si>
  <si>
    <t xml:space="preserve">Ni (ppb)</t>
  </si>
  <si>
    <t xml:space="preserve">Ni/Ca (µmol/mol)</t>
  </si>
  <si>
    <t xml:space="preserve">Co/Ca (µmol/mol)</t>
  </si>
  <si>
    <t xml:space="preserve">B (ppb)</t>
  </si>
  <si>
    <t xml:space="preserve">Na (ppb)</t>
  </si>
  <si>
    <t xml:space="preserve">Mg (ppb)</t>
  </si>
  <si>
    <t xml:space="preserve">Al (ppb)</t>
  </si>
  <si>
    <t xml:space="preserve">P (ppb)</t>
  </si>
  <si>
    <t xml:space="preserve">K (ppb)</t>
  </si>
  <si>
    <t xml:space="preserve">Ti (ppb)</t>
  </si>
  <si>
    <t xml:space="preserve">V (ppb)</t>
  </si>
  <si>
    <t xml:space="preserve">Cr (ppb)</t>
  </si>
  <si>
    <t xml:space="preserve">Mn (ppb)</t>
  </si>
  <si>
    <t xml:space="preserve">Fe (ppb)</t>
  </si>
  <si>
    <t xml:space="preserve">Cu (ppb)</t>
  </si>
  <si>
    <t xml:space="preserve">Zn (ppb)</t>
  </si>
  <si>
    <t xml:space="preserve">As (ppb)</t>
  </si>
  <si>
    <t xml:space="preserve">Rb (ppb)</t>
  </si>
  <si>
    <t xml:space="preserve">Sr (ppb)</t>
  </si>
  <si>
    <t xml:space="preserve">Y (ppb)</t>
  </si>
  <si>
    <t xml:space="preserve">Ag (ppb)</t>
  </si>
  <si>
    <t xml:space="preserve">Cd (ppb)</t>
  </si>
  <si>
    <t xml:space="preserve">Sn (ppb)</t>
  </si>
  <si>
    <t xml:space="preserve">Sb (ppb)</t>
  </si>
  <si>
    <t xml:space="preserve">Cs (ppb)</t>
  </si>
  <si>
    <t xml:space="preserve">Ba (ppb)</t>
  </si>
  <si>
    <t xml:space="preserve">La (ppb)</t>
  </si>
  <si>
    <t xml:space="preserve">Ce (ppb)</t>
  </si>
  <si>
    <t xml:space="preserve">Hf (ppb)</t>
  </si>
  <si>
    <t xml:space="preserve">Ta (ppb)</t>
  </si>
  <si>
    <t xml:space="preserve">Pb (ppb)</t>
  </si>
  <si>
    <t xml:space="preserve">Th (ppb)</t>
  </si>
  <si>
    <t xml:space="preserve">U (ppb)</t>
  </si>
  <si>
    <t xml:space="preserve">2007-12-13</t>
  </si>
  <si>
    <t xml:space="preserve">2008-01-25</t>
  </si>
  <si>
    <t xml:space="preserve">2008-03-09</t>
  </si>
  <si>
    <t xml:space="preserve">2008-04-20</t>
  </si>
  <si>
    <t xml:space="preserve">2008-05-28</t>
  </si>
  <si>
    <t xml:space="preserve">2008-07-07</t>
  </si>
  <si>
    <t xml:space="preserve">2008-08-19</t>
  </si>
  <si>
    <t xml:space="preserve">2008-09-28</t>
  </si>
  <si>
    <t xml:space="preserve">2008-11-09</t>
  </si>
  <si>
    <t xml:space="preserve">2008-12-23</t>
  </si>
  <si>
    <t xml:space="preserve">2009-02-06</t>
  </si>
  <si>
    <t xml:space="preserve">2009-03-16</t>
  </si>
  <si>
    <t xml:space="preserve">2009-04-25</t>
  </si>
  <si>
    <t xml:space="preserve">2009-06-08</t>
  </si>
  <si>
    <t xml:space="preserve">2009-07-13</t>
  </si>
  <si>
    <t xml:space="preserve">2009-08-23</t>
  </si>
  <si>
    <t xml:space="preserve">2009-10-05</t>
  </si>
  <si>
    <t xml:space="preserve">2009-12-23</t>
  </si>
  <si>
    <t xml:space="preserve">2010-02-03</t>
  </si>
  <si>
    <t xml:space="preserve">2010-03-11</t>
  </si>
  <si>
    <t xml:space="preserve">2010-04-22</t>
  </si>
  <si>
    <t xml:space="preserve">2010-06-02</t>
  </si>
  <si>
    <t xml:space="preserve">2010-07-11</t>
  </si>
  <si>
    <t xml:space="preserve">2010-08-13</t>
  </si>
  <si>
    <t xml:space="preserve">2010-09-19</t>
  </si>
  <si>
    <t xml:space="preserve">2010-10-29</t>
  </si>
  <si>
    <t xml:space="preserve">2010-12-14</t>
  </si>
  <si>
    <t xml:space="preserve">2011-01-24</t>
  </si>
  <si>
    <t xml:space="preserve">2011-03-06</t>
  </si>
  <si>
    <t xml:space="preserve">2011-04-17</t>
  </si>
  <si>
    <t xml:space="preserve">2011-05-29</t>
  </si>
  <si>
    <t xml:space="preserve">2011-06-29</t>
  </si>
  <si>
    <t xml:space="preserve">2011-07-30</t>
  </si>
  <si>
    <t xml:space="preserve">2011-08-29</t>
  </si>
  <si>
    <t xml:space="preserve">2011-09-29</t>
  </si>
  <si>
    <t xml:space="preserve">2011-10-30</t>
  </si>
  <si>
    <t xml:space="preserve">2011-11-29</t>
  </si>
  <si>
    <t xml:space="preserve">2011-12-30</t>
  </si>
  <si>
    <t xml:space="preserve">2012-01-31</t>
  </si>
  <si>
    <t xml:space="preserve">2012-02-29</t>
  </si>
  <si>
    <t xml:space="preserve">2012-03-30</t>
  </si>
  <si>
    <t xml:space="preserve">2012-04-30</t>
  </si>
  <si>
    <t xml:space="preserve">2012-06-01</t>
  </si>
  <si>
    <t xml:space="preserve">2012-07-01</t>
  </si>
  <si>
    <t xml:space="preserve">2012-07-30</t>
  </si>
  <si>
    <t xml:space="preserve">2012-09-01</t>
  </si>
  <si>
    <t xml:space="preserve">2012-09-29</t>
  </si>
  <si>
    <t xml:space="preserve">2012-10-31</t>
  </si>
  <si>
    <t xml:space="preserve">2012-11-29</t>
  </si>
  <si>
    <t xml:space="preserve">2012-12-31</t>
  </si>
  <si>
    <t xml:space="preserve">2013-01-30</t>
  </si>
  <si>
    <t xml:space="preserve">2013-03-03</t>
  </si>
  <si>
    <t xml:space="preserve">2013-04-01</t>
  </si>
  <si>
    <t xml:space="preserve">2013-05-01</t>
  </si>
  <si>
    <t xml:space="preserve">2013-05-31</t>
  </si>
  <si>
    <t xml:space="preserve">2013-06-29</t>
  </si>
  <si>
    <t xml:space="preserve">2013-08-01</t>
  </si>
  <si>
    <t xml:space="preserve">2013-08-31</t>
  </si>
  <si>
    <t xml:space="preserve">2013-09-30</t>
  </si>
  <si>
    <t xml:space="preserve">2013-10-31</t>
  </si>
  <si>
    <t xml:space="preserve">2013-11-30</t>
  </si>
  <si>
    <t xml:space="preserve">2013-12-29</t>
  </si>
  <si>
    <t xml:space="preserve">2014-01-23</t>
  </si>
  <si>
    <t xml:space="preserve">2014-02-28</t>
  </si>
  <si>
    <t xml:space="preserve">2014-03-30</t>
  </si>
  <si>
    <t xml:space="preserve">2014-04-29</t>
  </si>
  <si>
    <t xml:space="preserve">2014-05-30</t>
  </si>
  <si>
    <t xml:space="preserve">2014-06-30</t>
  </si>
  <si>
    <t xml:space="preserve">2014-07-31</t>
  </si>
  <si>
    <t xml:space="preserve">2014-08-30</t>
  </si>
  <si>
    <t xml:space="preserve">2014-09-29</t>
  </si>
  <si>
    <t xml:space="preserve">2014-10-31</t>
  </si>
  <si>
    <t xml:space="preserve">2014-11-30</t>
  </si>
  <si>
    <t xml:space="preserve">2014-12-31</t>
  </si>
  <si>
    <t xml:space="preserve">2015-01-30</t>
  </si>
  <si>
    <t xml:space="preserve">2015-03-03</t>
  </si>
  <si>
    <t xml:space="preserve">2015-03-30</t>
  </si>
  <si>
    <t xml:space="preserve">2015-04-29</t>
  </si>
  <si>
    <t xml:space="preserve">2015-06-01</t>
  </si>
  <si>
    <t xml:space="preserve">2015-06-30</t>
  </si>
  <si>
    <t xml:space="preserve">2015-07-30</t>
  </si>
  <si>
    <t xml:space="preserve">2015-08-30</t>
  </si>
  <si>
    <t xml:space="preserve">2015-09-25</t>
  </si>
  <si>
    <t xml:space="preserve">2015-10-30</t>
  </si>
  <si>
    <t xml:space="preserve">2015-11-30</t>
  </si>
  <si>
    <t xml:space="preserve">2015-12-30</t>
  </si>
  <si>
    <t xml:space="preserve">2016-01-31</t>
  </si>
  <si>
    <t xml:space="preserve">2016-02-28</t>
  </si>
  <si>
    <t xml:space="preserve">2016-03-30</t>
  </si>
  <si>
    <t xml:space="preserve">2016-04-28</t>
  </si>
  <si>
    <t xml:space="preserve">2016-05-30</t>
  </si>
  <si>
    <t xml:space="preserve">2016-06-29</t>
  </si>
  <si>
    <t xml:space="preserve">Field</t>
  </si>
  <si>
    <t xml:space="preserve">Units</t>
  </si>
  <si>
    <t xml:space="preserve">Description / provenance</t>
  </si>
  <si>
    <t xml:space="preserve">ISO date</t>
  </si>
  <si>
    <r>
      <rPr>
        <sz val="10"/>
        <rFont val="Arial"/>
        <family val="0"/>
        <charset val="1"/>
      </rPr>
      <t xml:space="preserve">Dripwater sampling date, from TE sheet "</t>
    </r>
    <r>
      <rPr>
        <sz val="10"/>
        <rFont val="Noto Sans CJK SC"/>
        <family val="2"/>
      </rPr>
      <t xml:space="preserve">样品名</t>
    </r>
    <r>
      <rPr>
        <sz val="10"/>
        <rFont val="Arial"/>
        <family val="0"/>
        <charset val="1"/>
      </rPr>
      <t xml:space="preserve">(NZ)" column. 92 samples, 2007-12-13 to 2016-06-29.</t>
    </r>
  </si>
  <si>
    <t xml:space="preserve">drops/min</t>
  </si>
  <si>
    <t xml:space="preserve">Drip rate at nearest logger date, from Climate sheet. Paired to the sample within +/-30 d (86 of 92 samples; median gap 0 d). Blank where no logger reading within 30 d.</t>
  </si>
  <si>
    <t xml:space="preserve">days</t>
  </si>
  <si>
    <t xml:space="preserve">Absolute date offset between the sample and the DR reading used. Quality flag; 0 = same-day.</t>
  </si>
  <si>
    <t xml:space="preserve">ppb (µg/L)</t>
  </si>
  <si>
    <t xml:space="preserve">ICP-MS Ca-43, dripwater. Source TE sheet col "Ca".</t>
  </si>
  <si>
    <t xml:space="preserve">ICP-MS Co-59, dripwater.</t>
  </si>
  <si>
    <t xml:space="preserve">ICP-MS Ni-60, dripwater.</t>
  </si>
  <si>
    <t xml:space="preserve">µmol/mol</t>
  </si>
  <si>
    <t xml:space="preserve">LIVE FORMULA =(Ni_ppb/58.6934)/(Ca_ppb/40.078)*1e6. NOTE: source workbook labelled this column "mmol/mol" but its values (~45) are µmol/mol — a x1000 mislabel, corrected here.</t>
  </si>
  <si>
    <t xml:space="preserve">LIVE FORMULA =(Co_ppb/58.9332)/(Ca_ppb/40.078)*1e6. Source label (µmol/mol) was correct; recomputed for consistency.</t>
  </si>
  <si>
    <t xml:space="preserve">other elements (ppb)</t>
  </si>
  <si>
    <t xml:space="preserve">B,Na,Mg,Al,P,K,Ti,V,Cr,Mn,Fe,Cu,Zn,As,Rb,Sr,Y,Ag,Cd,Sn,Sb,Cs,Ba,La,Ce,Hf,Ta,Pb,Th,U — full ICP-MS suite carried through unaltered from TE sheet for completeness. Not all screened for detection limits; verify before use.</t>
  </si>
  <si>
    <t xml:space="preserve">Molar masses used</t>
  </si>
  <si>
    <t xml:space="preserve">g/mol</t>
  </si>
  <si>
    <t xml:space="preserve">Ca 40.078; Co 58.9332; Ni 58.6934</t>
  </si>
  <si>
    <t xml:space="preserve">Excluded from source</t>
  </si>
  <si>
    <t xml:space="preserve">Pool-water samples (anions sheet) and fluorescence (FL sheet) are NOT in this table — dripwater trace elements only. TE=dripwater confirmed: 62/93 dates match the FL dripwater series vs 3/93 matching pool-water anions.</t>
  </si>
  <si>
    <t xml:space="preserve">Gaps</t>
  </si>
  <si>
    <t xml:space="preserve">One sampling gap (~Nov 2009). Rows with no Ca/Co/Ni were dropped (92 complete of 106 TE rows).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</si>
</sst>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"/>
    <numFmt numFmtId="167" formatCode="0"/>
    <numFmt numFmtId="168" formatCode="#,##0"/>
    <numFmt numFmtId="169" formatCode="0.000"/>
    <numFmt numFmtId="170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9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9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6" min="5" style="0" width="10"/>
    <col collapsed="false" customWidth="true" hidden="false" outlineLevel="0" max="8" min="7" style="0" width="15"/>
    <col collapsed="false" customWidth="true" hidden="false" outlineLevel="0" max="38" min="9" style="0" width="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" hidden="false" customHeight="false" outlineLevel="0" collapsed="false">
      <c r="A2" s="2" t="s">
        <v>38</v>
      </c>
      <c r="B2" s="3" t="n">
        <v>13</v>
      </c>
      <c r="C2" s="4" t="n">
        <v>0</v>
      </c>
      <c r="D2" s="5" t="n">
        <v>68288.636590006</v>
      </c>
      <c r="E2" s="6" t="n">
        <v>0.542046755059637</v>
      </c>
      <c r="F2" s="6" t="n">
        <v>5.5809533363763</v>
      </c>
      <c r="G2" s="7" t="n">
        <f aca="false">(F2/58.6934)/(D2/40.078)*1000000</f>
        <v>55.8054638336235</v>
      </c>
      <c r="H2" s="7" t="n">
        <f aca="false">(E2/58.9332)/(D2/40.078)*1000000</f>
        <v>5.3980179513051</v>
      </c>
      <c r="I2" s="8" t="n">
        <v>2832.91682283108</v>
      </c>
      <c r="J2" s="8" t="n">
        <v>6500.77773900044</v>
      </c>
      <c r="K2" s="8" t="n">
        <v>31512.3482541746</v>
      </c>
      <c r="L2" s="8" t="n">
        <v>947.334449955832</v>
      </c>
      <c r="M2" s="8" t="n">
        <v>24.4804599925787</v>
      </c>
      <c r="N2" s="8" t="n">
        <v>1706.55937667655</v>
      </c>
      <c r="O2" s="8" t="n">
        <v>10.9973773562028</v>
      </c>
      <c r="P2" s="8" t="n">
        <v>0.270038910859554</v>
      </c>
      <c r="Q2" s="8" t="n">
        <v>0.86776065719487</v>
      </c>
      <c r="R2" s="8" t="n">
        <v>1.39036774687564</v>
      </c>
      <c r="S2" s="8" t="n">
        <v>1513.54214106775</v>
      </c>
      <c r="T2" s="8" t="n">
        <v>2.4229690835147</v>
      </c>
      <c r="U2" s="8" t="n">
        <v>8.60841716795518</v>
      </c>
      <c r="V2" s="8" t="n">
        <v>0.770258245272103</v>
      </c>
      <c r="W2" s="8" t="n">
        <v>1.39203415077828</v>
      </c>
      <c r="X2" s="8" t="n">
        <v>75.7715545935875</v>
      </c>
      <c r="Y2" s="8" t="n">
        <v>0.145754517782797</v>
      </c>
      <c r="Z2" s="8" t="n">
        <v>-0.0122956603893572</v>
      </c>
      <c r="AA2" s="8" t="n">
        <v>0.0138072756150219</v>
      </c>
      <c r="AB2" s="8" t="n">
        <v>0.0942955995629954</v>
      </c>
      <c r="AC2" s="8" t="n">
        <v>0.0872865731733718</v>
      </c>
      <c r="AD2" s="8" t="n">
        <v>0.0335288368444987</v>
      </c>
      <c r="AE2" s="8" t="n">
        <v>176.814753153671</v>
      </c>
      <c r="AF2" s="8" t="n">
        <v>0.108183982292959</v>
      </c>
      <c r="AG2" s="8" t="n">
        <v>0.169712333866522</v>
      </c>
      <c r="AH2" s="8" t="n">
        <v>0.480332280192397</v>
      </c>
      <c r="AI2" s="8" t="n">
        <v>0.0027830798877767</v>
      </c>
      <c r="AJ2" s="8" t="n">
        <v>0.334197298315456</v>
      </c>
      <c r="AK2" s="8" t="n">
        <v>0.0345719483636034</v>
      </c>
      <c r="AL2" s="8" t="n">
        <v>0.565168493482382</v>
      </c>
    </row>
    <row r="3" customFormat="false" ht="15" hidden="false" customHeight="false" outlineLevel="0" collapsed="false">
      <c r="A3" s="2" t="s">
        <v>39</v>
      </c>
      <c r="B3" s="3" t="n">
        <v>16</v>
      </c>
      <c r="C3" s="4" t="n">
        <v>0</v>
      </c>
      <c r="D3" s="5" t="n">
        <v>66712.1220024135</v>
      </c>
      <c r="E3" s="6" t="n">
        <v>0.469478021750231</v>
      </c>
      <c r="F3" s="6" t="n">
        <v>5.0634247097651</v>
      </c>
      <c r="G3" s="7" t="n">
        <f aca="false">(F3/58.6934)/(D3/40.078)*1000000</f>
        <v>51.8270362697213</v>
      </c>
      <c r="H3" s="7" t="n">
        <f aca="false">(E3/58.9332)/(D3/40.078)*1000000</f>
        <v>4.78582185260047</v>
      </c>
      <c r="I3" s="8" t="n">
        <v>1471.21544537278</v>
      </c>
      <c r="J3" s="8" t="n">
        <v>4870.41082075069</v>
      </c>
      <c r="K3" s="8" t="n">
        <v>32545.1037972891</v>
      </c>
      <c r="L3" s="8" t="n">
        <v>566.152566138335</v>
      </c>
      <c r="M3" s="8" t="n">
        <v>24.7466960542502</v>
      </c>
      <c r="N3" s="8" t="n">
        <v>1204.50173545029</v>
      </c>
      <c r="O3" s="8" t="n">
        <v>7.59383184095669</v>
      </c>
      <c r="P3" s="8" t="n">
        <v>0.224383259244299</v>
      </c>
      <c r="Q3" s="8" t="n">
        <v>0.593371001784866</v>
      </c>
      <c r="R3" s="8" t="n">
        <v>1.07851375021614</v>
      </c>
      <c r="S3" s="8" t="n">
        <v>1454.5259711223</v>
      </c>
      <c r="T3" s="8" t="n">
        <v>2.01619230093184</v>
      </c>
      <c r="U3" s="8" t="n">
        <v>8.54658582556392</v>
      </c>
      <c r="V3" s="8" t="n">
        <v>0.713331691551536</v>
      </c>
      <c r="W3" s="8" t="n">
        <v>0.742582411129509</v>
      </c>
      <c r="X3" s="8" t="n">
        <v>74.5614231239531</v>
      </c>
      <c r="Y3" s="8" t="n">
        <v>0.0980625181687878</v>
      </c>
      <c r="Z3" s="8" t="n">
        <v>-0.00703248319099397</v>
      </c>
      <c r="AA3" s="8" t="n">
        <v>0.0120085966167393</v>
      </c>
      <c r="AB3" s="8" t="n">
        <v>0.0352886778341901</v>
      </c>
      <c r="AC3" s="8" t="n">
        <v>0.0815956856318072</v>
      </c>
      <c r="AD3" s="8" t="n">
        <v>0.0278485096292021</v>
      </c>
      <c r="AE3" s="8" t="n">
        <v>169.515858400375</v>
      </c>
      <c r="AF3" s="8" t="n">
        <v>0.0621336551471822</v>
      </c>
      <c r="AG3" s="8" t="n">
        <v>0.103572834333379</v>
      </c>
      <c r="AH3" s="8" t="n">
        <v>0.461625919563168</v>
      </c>
      <c r="AI3" s="8" t="n">
        <v>0.00118558342780664</v>
      </c>
      <c r="AJ3" s="8" t="n">
        <v>0.834348743950363</v>
      </c>
      <c r="AK3" s="8" t="n">
        <v>0.00894992652096726</v>
      </c>
      <c r="AL3" s="8" t="n">
        <v>0.56919933547268</v>
      </c>
    </row>
    <row r="4" customFormat="false" ht="15" hidden="false" customHeight="false" outlineLevel="0" collapsed="false">
      <c r="A4" s="2" t="s">
        <v>40</v>
      </c>
      <c r="B4" s="3" t="n">
        <v>15</v>
      </c>
      <c r="C4" s="4" t="n">
        <v>0</v>
      </c>
      <c r="D4" s="5" t="n">
        <v>66148.8513471514</v>
      </c>
      <c r="E4" s="6" t="n">
        <v>0.494320521999459</v>
      </c>
      <c r="F4" s="6" t="n">
        <v>4.49171023777855</v>
      </c>
      <c r="G4" s="7" t="n">
        <f aca="false">(F4/58.6934)/(D4/40.078)*1000000</f>
        <v>46.3667010765582</v>
      </c>
      <c r="H4" s="7" t="n">
        <f aca="false">(E4/58.9332)/(D4/40.078)*1000000</f>
        <v>5.08197297424031</v>
      </c>
      <c r="I4" s="8" t="n">
        <v>1576.8511529354</v>
      </c>
      <c r="J4" s="8" t="n">
        <v>4957.37661848872</v>
      </c>
      <c r="K4" s="8" t="n">
        <v>32343.4652002989</v>
      </c>
      <c r="L4" s="8" t="n">
        <v>958.517474747008</v>
      </c>
      <c r="M4" s="8" t="n">
        <v>23.5619484200625</v>
      </c>
      <c r="N4" s="8" t="n">
        <v>1030.23708298512</v>
      </c>
      <c r="O4" s="8" t="n">
        <v>12.6741894520611</v>
      </c>
      <c r="P4" s="8" t="n">
        <v>0.262017289935327</v>
      </c>
      <c r="Q4" s="8" t="n">
        <v>0.798681589386196</v>
      </c>
      <c r="R4" s="8" t="n">
        <v>0.95189372997049</v>
      </c>
      <c r="S4" s="8" t="n">
        <v>1440.14160271334</v>
      </c>
      <c r="T4" s="8" t="n">
        <v>1.49036611695212</v>
      </c>
      <c r="U4" s="8" t="n">
        <v>7.11168681562059</v>
      </c>
      <c r="V4" s="8" t="n">
        <v>0.655862080877106</v>
      </c>
      <c r="W4" s="8" t="n">
        <v>0.590475324656447</v>
      </c>
      <c r="X4" s="8" t="n">
        <v>75.1205948390876</v>
      </c>
      <c r="Y4" s="8" t="n">
        <v>0.118411736175646</v>
      </c>
      <c r="Z4" s="8" t="n">
        <v>-0.0372481350791645</v>
      </c>
      <c r="AA4" s="8" t="n">
        <v>0.00879741143405969</v>
      </c>
      <c r="AB4" s="8" t="n">
        <v>0.0396610464146981</v>
      </c>
      <c r="AC4" s="8" t="n">
        <v>0.0598875187091736</v>
      </c>
      <c r="AD4" s="8" t="n">
        <v>0.0242813805167108</v>
      </c>
      <c r="AE4" s="8" t="n">
        <v>172.287285433584</v>
      </c>
      <c r="AF4" s="8" t="n">
        <v>0.159483752360051</v>
      </c>
      <c r="AG4" s="8" t="n">
        <v>0.295455024652128</v>
      </c>
      <c r="AH4" s="8" t="n">
        <v>0.252999229483008</v>
      </c>
      <c r="AI4" s="8" t="n">
        <v>0.00108043202274072</v>
      </c>
      <c r="AJ4" s="8" t="n">
        <v>0.786440660149984</v>
      </c>
      <c r="AK4" s="8" t="n">
        <v>0.0214430589911709</v>
      </c>
      <c r="AL4" s="8" t="n">
        <v>0.583377531170368</v>
      </c>
    </row>
    <row r="5" customFormat="false" ht="15" hidden="false" customHeight="false" outlineLevel="0" collapsed="false">
      <c r="A5" s="2" t="s">
        <v>41</v>
      </c>
      <c r="B5" s="3" t="n">
        <v>14</v>
      </c>
      <c r="C5" s="4" t="n">
        <v>0</v>
      </c>
      <c r="D5" s="5" t="n">
        <v>64313.8079553633</v>
      </c>
      <c r="E5" s="6" t="n">
        <v>0.576181220521832</v>
      </c>
      <c r="F5" s="6" t="n">
        <v>4.735626399052</v>
      </c>
      <c r="G5" s="7" t="n">
        <f aca="false">(F5/58.6934)/(D5/40.078)*1000000</f>
        <v>50.2793878167818</v>
      </c>
      <c r="H5" s="7" t="n">
        <f aca="false">(E5/58.9332)/(D5/40.078)*1000000</f>
        <v>6.09257511498514</v>
      </c>
      <c r="I5" s="8" t="n">
        <v>2052.24944040487</v>
      </c>
      <c r="J5" s="8" t="n">
        <v>7164.21098236764</v>
      </c>
      <c r="K5" s="8" t="n">
        <v>31004.192434101</v>
      </c>
      <c r="L5" s="8" t="n">
        <v>1604.26406085576</v>
      </c>
      <c r="M5" s="8" t="n">
        <v>141.683737918058</v>
      </c>
      <c r="N5" s="8" t="n">
        <v>1123.23742409157</v>
      </c>
      <c r="O5" s="8" t="n">
        <v>19.6830274387459</v>
      </c>
      <c r="P5" s="8" t="n">
        <v>0.380066755175586</v>
      </c>
      <c r="Q5" s="8" t="n">
        <v>1.22777258060728</v>
      </c>
      <c r="R5" s="8" t="n">
        <v>6.48900921011857</v>
      </c>
      <c r="S5" s="8" t="n">
        <v>1452.45186869747</v>
      </c>
      <c r="T5" s="8" t="n">
        <v>1.84840251454513</v>
      </c>
      <c r="U5" s="8" t="n">
        <v>9.82053427330774</v>
      </c>
      <c r="V5" s="8" t="n">
        <v>0.637176355929535</v>
      </c>
      <c r="W5" s="8" t="n">
        <v>0.736774436624856</v>
      </c>
      <c r="X5" s="8" t="n">
        <v>74.6729102148627</v>
      </c>
      <c r="Y5" s="8" t="n">
        <v>0.221311863237762</v>
      </c>
      <c r="Z5" s="8" t="n">
        <v>0.0193862718513224</v>
      </c>
      <c r="AA5" s="8" t="n">
        <v>0.0115603797723918</v>
      </c>
      <c r="AB5" s="8" t="n">
        <v>0.0407633744632313</v>
      </c>
      <c r="AC5" s="8" t="n">
        <v>0.17416451912294</v>
      </c>
      <c r="AD5" s="8" t="n">
        <v>0.0303525820406797</v>
      </c>
      <c r="AE5" s="8" t="n">
        <v>171.626863723462</v>
      </c>
      <c r="AF5" s="8" t="n">
        <v>0.278018434363164</v>
      </c>
      <c r="AG5" s="8" t="n">
        <v>0.549310464410412</v>
      </c>
      <c r="AH5" s="8" t="n">
        <v>0.336054530972846</v>
      </c>
      <c r="AI5" s="8" t="n">
        <v>0.00182111019331707</v>
      </c>
      <c r="AJ5" s="8" t="n">
        <v>1.03936286344973</v>
      </c>
      <c r="AK5" s="8" t="n">
        <v>0.0394078686324098</v>
      </c>
      <c r="AL5" s="8" t="n">
        <v>0.603240008119721</v>
      </c>
    </row>
    <row r="6" customFormat="false" ht="15" hidden="false" customHeight="false" outlineLevel="0" collapsed="false">
      <c r="A6" s="2" t="s">
        <v>42</v>
      </c>
      <c r="B6" s="3" t="n">
        <v>32</v>
      </c>
      <c r="C6" s="4" t="n">
        <v>0</v>
      </c>
      <c r="D6" s="5" t="n">
        <v>69355.7876572889</v>
      </c>
      <c r="E6" s="6" t="n">
        <v>0.524631910511763</v>
      </c>
      <c r="F6" s="6" t="n">
        <v>4.45011969042823</v>
      </c>
      <c r="G6" s="7" t="n">
        <f aca="false">(F6/58.6934)/(D6/40.078)*1000000</f>
        <v>43.8132789327553</v>
      </c>
      <c r="H6" s="7" t="n">
        <f aca="false">(E6/58.9332)/(D6/40.078)*1000000</f>
        <v>5.144201978594</v>
      </c>
      <c r="I6" s="8" t="n">
        <v>802.718287378287</v>
      </c>
      <c r="J6" s="8" t="n">
        <v>4303.10459140213</v>
      </c>
      <c r="K6" s="8" t="n">
        <v>32942.7191636855</v>
      </c>
      <c r="L6" s="8" t="n">
        <v>614.492014274712</v>
      </c>
      <c r="M6" s="8" t="n">
        <v>15.4740711297149</v>
      </c>
      <c r="N6" s="8" t="n">
        <v>888.185885258875</v>
      </c>
      <c r="O6" s="8" t="n">
        <v>9.25807590360529</v>
      </c>
      <c r="P6" s="8" t="n">
        <v>0.241673387632938</v>
      </c>
      <c r="Q6" s="8" t="n">
        <v>0.597625265066328</v>
      </c>
      <c r="R6" s="8" t="n">
        <v>0.444964793530705</v>
      </c>
      <c r="S6" s="8" t="n">
        <v>1491.84920930139</v>
      </c>
      <c r="T6" s="8" t="n">
        <v>0.824229418212545</v>
      </c>
      <c r="U6" s="8" t="n">
        <v>2.47376189842841</v>
      </c>
      <c r="V6" s="8" t="n">
        <v>0.668838062208715</v>
      </c>
      <c r="W6" s="8" t="n">
        <v>0.419984763672297</v>
      </c>
      <c r="X6" s="8" t="n">
        <v>76.5852691583418</v>
      </c>
      <c r="Y6" s="8" t="n">
        <v>0.07787720813342</v>
      </c>
      <c r="Z6" s="8" t="n">
        <v>-0.0201147832062839</v>
      </c>
      <c r="AA6" s="8" t="n">
        <v>0.00419674851924681</v>
      </c>
      <c r="AB6" s="8" t="n">
        <v>0.0137222980932709</v>
      </c>
      <c r="AC6" s="8" t="n">
        <v>0.0653718335868857</v>
      </c>
      <c r="AD6" s="8" t="n">
        <v>0.0212818889119968</v>
      </c>
      <c r="AE6" s="8" t="n">
        <v>184.128520246909</v>
      </c>
      <c r="AF6" s="8" t="n">
        <v>0.10032564627259</v>
      </c>
      <c r="AG6" s="8" t="n">
        <v>0.180026851575849</v>
      </c>
      <c r="AH6" s="8" t="n">
        <v>0.217574685074947</v>
      </c>
      <c r="AI6" s="8" t="n">
        <v>0.00131775574123036</v>
      </c>
      <c r="AJ6" s="8" t="n">
        <v>0.456446241338808</v>
      </c>
      <c r="AK6" s="8" t="n">
        <v>0.0174217742184376</v>
      </c>
      <c r="AL6" s="8" t="n">
        <v>0.559689926068913</v>
      </c>
    </row>
    <row r="7" customFormat="false" ht="15" hidden="false" customHeight="false" outlineLevel="0" collapsed="false">
      <c r="A7" s="2" t="s">
        <v>43</v>
      </c>
      <c r="B7" s="3" t="n">
        <v>35</v>
      </c>
      <c r="C7" s="4" t="n">
        <v>0</v>
      </c>
      <c r="D7" s="5" t="n">
        <v>68865.9757171552</v>
      </c>
      <c r="E7" s="6" t="n">
        <v>0.551140619290389</v>
      </c>
      <c r="F7" s="6" t="n">
        <v>4.59323610566994</v>
      </c>
      <c r="G7" s="7" t="n">
        <f aca="false">(F7/58.6934)/(D7/40.078)*1000000</f>
        <v>45.5439650685852</v>
      </c>
      <c r="H7" s="7" t="n">
        <f aca="false">(E7/58.9332)/(D7/40.078)*1000000</f>
        <v>5.44256635163215</v>
      </c>
      <c r="I7" s="8" t="n">
        <v>1292.03733394631</v>
      </c>
      <c r="J7" s="8" t="n">
        <v>5603.42772628937</v>
      </c>
      <c r="K7" s="8" t="n">
        <v>32365.085390657</v>
      </c>
      <c r="L7" s="8" t="n">
        <v>1157.15248015719</v>
      </c>
      <c r="M7" s="8" t="n">
        <v>939.960726118421</v>
      </c>
      <c r="N7" s="8" t="n">
        <v>1100.45426072277</v>
      </c>
      <c r="O7" s="8" t="n">
        <v>18.5566546416066</v>
      </c>
      <c r="P7" s="8" t="n">
        <v>0.333274486398922</v>
      </c>
      <c r="Q7" s="8" t="n">
        <v>0.779700712038872</v>
      </c>
      <c r="R7" s="8" t="n">
        <v>8.49083286476052</v>
      </c>
      <c r="S7" s="8" t="n">
        <v>1491.84424884927</v>
      </c>
      <c r="T7" s="8" t="n">
        <v>1.86573224774896</v>
      </c>
      <c r="U7" s="8" t="n">
        <v>12.6118967297271</v>
      </c>
      <c r="V7" s="8" t="n">
        <v>0.808017723555869</v>
      </c>
      <c r="W7" s="8" t="n">
        <v>0.459194209936035</v>
      </c>
      <c r="X7" s="8" t="n">
        <v>77.7729026760068</v>
      </c>
      <c r="Y7" s="8" t="n">
        <v>0.158745884785821</v>
      </c>
      <c r="Z7" s="8" t="n">
        <v>-0.000901185197283285</v>
      </c>
      <c r="AA7" s="8" t="n">
        <v>0.0164085795089472</v>
      </c>
      <c r="AB7" s="8" t="n">
        <v>0.0186697003178153</v>
      </c>
      <c r="AC7" s="8" t="n">
        <v>0.109520454845292</v>
      </c>
      <c r="AD7" s="8" t="n">
        <v>0.0272960529834351</v>
      </c>
      <c r="AE7" s="8" t="n">
        <v>188.213141277233</v>
      </c>
      <c r="AF7" s="8" t="n">
        <v>0.189782881160992</v>
      </c>
      <c r="AG7" s="8" t="n">
        <v>0.359047957724521</v>
      </c>
      <c r="AH7" s="8" t="n">
        <v>0.255855508343565</v>
      </c>
      <c r="AI7" s="8" t="n">
        <v>0.000498221830772634</v>
      </c>
      <c r="AJ7" s="8" t="n">
        <v>0.750182804650811</v>
      </c>
      <c r="AK7" s="8" t="n">
        <v>0.0240327849392949</v>
      </c>
      <c r="AL7" s="8" t="n">
        <v>0.579925299391211</v>
      </c>
    </row>
    <row r="8" customFormat="false" ht="15" hidden="false" customHeight="false" outlineLevel="0" collapsed="false">
      <c r="A8" s="2" t="s">
        <v>44</v>
      </c>
      <c r="B8" s="3" t="n">
        <v>33</v>
      </c>
      <c r="C8" s="4" t="n">
        <v>0</v>
      </c>
      <c r="D8" s="5" t="n">
        <v>70814.444975007</v>
      </c>
      <c r="E8" s="6" t="n">
        <v>0.528473376435008</v>
      </c>
      <c r="F8" s="6" t="n">
        <v>4.74773895598491</v>
      </c>
      <c r="G8" s="7" t="n">
        <f aca="false">(F8/58.6934)/(D8/40.078)*1000000</f>
        <v>45.7806283753097</v>
      </c>
      <c r="H8" s="7" t="n">
        <f aca="false">(E8/58.9332)/(D8/40.078)*1000000</f>
        <v>5.07513121420577</v>
      </c>
      <c r="I8" s="8" t="n">
        <v>875.380940230096</v>
      </c>
      <c r="J8" s="8" t="n">
        <v>4470.52323603369</v>
      </c>
      <c r="K8" s="8" t="n">
        <v>32496.7451170042</v>
      </c>
      <c r="L8" s="8" t="n">
        <v>795.327438742874</v>
      </c>
      <c r="M8" s="8" t="n">
        <v>15.9886111351754</v>
      </c>
      <c r="N8" s="8" t="n">
        <v>893.557447041396</v>
      </c>
      <c r="O8" s="8" t="n">
        <v>11.108343213214</v>
      </c>
      <c r="P8" s="8" t="n">
        <v>0.243545539182478</v>
      </c>
      <c r="Q8" s="8" t="n">
        <v>0.69264533733528</v>
      </c>
      <c r="R8" s="8" t="n">
        <v>0.930567960941401</v>
      </c>
      <c r="S8" s="8" t="n">
        <v>1515.40485497121</v>
      </c>
      <c r="T8" s="8" t="n">
        <v>1.16554494529493</v>
      </c>
      <c r="U8" s="8" t="n">
        <v>20.551879881067</v>
      </c>
      <c r="V8" s="8" t="n">
        <v>0.74446890290803</v>
      </c>
      <c r="W8" s="8" t="n">
        <v>0.413691290730745</v>
      </c>
      <c r="X8" s="8" t="n">
        <v>77.6392491035655</v>
      </c>
      <c r="Y8" s="8" t="n">
        <v>0.0989652896582093</v>
      </c>
      <c r="Z8" s="8" t="n">
        <v>-0.0151665323906305</v>
      </c>
      <c r="AA8" s="8" t="n">
        <v>0.00627432082026793</v>
      </c>
      <c r="AB8" s="8" t="n">
        <v>0.0540236372632235</v>
      </c>
      <c r="AC8" s="8" t="n">
        <v>0.108183500239212</v>
      </c>
      <c r="AD8" s="8" t="n">
        <v>0.0261951634905545</v>
      </c>
      <c r="AE8" s="8" t="n">
        <v>186.482889359114</v>
      </c>
      <c r="AF8" s="8" t="n">
        <v>0.12765833633138</v>
      </c>
      <c r="AG8" s="8" t="n">
        <v>0.234848786352728</v>
      </c>
      <c r="AH8" s="8" t="n">
        <v>0.203089202835679</v>
      </c>
      <c r="AI8" s="8" t="n">
        <v>0.00133122366596328</v>
      </c>
      <c r="AJ8" s="8" t="n">
        <v>0.465643446491968</v>
      </c>
      <c r="AK8" s="8" t="n">
        <v>0.0209735397287465</v>
      </c>
      <c r="AL8" s="8" t="n">
        <v>0.558535862029649</v>
      </c>
    </row>
    <row r="9" customFormat="false" ht="15" hidden="false" customHeight="false" outlineLevel="0" collapsed="false">
      <c r="A9" s="2" t="s">
        <v>45</v>
      </c>
      <c r="B9" s="3" t="n">
        <v>16</v>
      </c>
      <c r="C9" s="4" t="n">
        <v>0</v>
      </c>
      <c r="D9" s="5" t="n">
        <v>67487.9835404675</v>
      </c>
      <c r="E9" s="6" t="n">
        <v>0.546636721891459</v>
      </c>
      <c r="F9" s="6" t="n">
        <v>4.50771187695286</v>
      </c>
      <c r="G9" s="7" t="n">
        <f aca="false">(F9/58.6934)/(D9/40.078)*1000000</f>
        <v>45.6085714807371</v>
      </c>
      <c r="H9" s="7" t="n">
        <f aca="false">(E9/58.9332)/(D9/40.078)*1000000</f>
        <v>5.50830993611379</v>
      </c>
      <c r="I9" s="8" t="n">
        <v>1063.64161553489</v>
      </c>
      <c r="J9" s="8" t="n">
        <v>5275.19648411323</v>
      </c>
      <c r="K9" s="8" t="n">
        <v>32720.9652981042</v>
      </c>
      <c r="L9" s="8" t="n">
        <v>868.524822131187</v>
      </c>
      <c r="M9" s="8" t="n">
        <v>11.0558772662317</v>
      </c>
      <c r="N9" s="8" t="n">
        <v>893.559793725112</v>
      </c>
      <c r="O9" s="8" t="n">
        <v>12.3034493233182</v>
      </c>
      <c r="P9" s="8" t="n">
        <v>0.276299346279083</v>
      </c>
      <c r="Q9" s="8" t="n">
        <v>0.634765309968475</v>
      </c>
      <c r="R9" s="8" t="n">
        <v>0.423422749557169</v>
      </c>
      <c r="S9" s="8" t="n">
        <v>1520.96308113068</v>
      </c>
      <c r="T9" s="8" t="n">
        <v>1.05640917814274</v>
      </c>
      <c r="U9" s="8" t="n">
        <v>5.76833337585214</v>
      </c>
      <c r="V9" s="8" t="n">
        <v>0.762484700849481</v>
      </c>
      <c r="W9" s="8" t="n">
        <v>0.40504746755317</v>
      </c>
      <c r="X9" s="8" t="n">
        <v>76.8027567602751</v>
      </c>
      <c r="Y9" s="8" t="n">
        <v>0.108589063332768</v>
      </c>
      <c r="Z9" s="8" t="n">
        <v>-0.013782494850683</v>
      </c>
      <c r="AA9" s="8" t="n">
        <v>0.0048309273434837</v>
      </c>
      <c r="AB9" s="8" t="n">
        <v>0.0103158410527767</v>
      </c>
      <c r="AC9" s="8" t="n">
        <v>0.0531426600878307</v>
      </c>
      <c r="AD9" s="8" t="n">
        <v>0.022115353515158</v>
      </c>
      <c r="AE9" s="8" t="n">
        <v>184.782373177426</v>
      </c>
      <c r="AF9" s="8" t="n">
        <v>0.142462688200438</v>
      </c>
      <c r="AG9" s="8" t="n">
        <v>0.274954088264364</v>
      </c>
      <c r="AH9" s="8" t="n">
        <v>0.233462740608982</v>
      </c>
      <c r="AI9" s="8" t="n">
        <v>0.00150773381460768</v>
      </c>
      <c r="AJ9" s="8" t="n">
        <v>0.397716403685416</v>
      </c>
      <c r="AK9" s="8" t="n">
        <v>0.0234017462533012</v>
      </c>
      <c r="AL9" s="8" t="n">
        <v>0.568782758676356</v>
      </c>
    </row>
    <row r="10" customFormat="false" ht="15" hidden="false" customHeight="false" outlineLevel="0" collapsed="false">
      <c r="A10" s="2" t="s">
        <v>46</v>
      </c>
      <c r="B10" s="3" t="n">
        <v>25</v>
      </c>
      <c r="C10" s="4" t="n">
        <v>0</v>
      </c>
      <c r="D10" s="5" t="n">
        <v>66411.2490509754</v>
      </c>
      <c r="E10" s="6" t="n">
        <v>0.548493724753</v>
      </c>
      <c r="F10" s="6" t="n">
        <v>7.12702372908726</v>
      </c>
      <c r="G10" s="7" t="n">
        <f aca="false">(F10/58.6934)/(D10/40.078)*1000000</f>
        <v>73.2796403409849</v>
      </c>
      <c r="H10" s="7" t="n">
        <f aca="false">(E10/58.9332)/(D10/40.078)*1000000</f>
        <v>5.61663280651519</v>
      </c>
      <c r="I10" s="8" t="n">
        <v>773.641129424153</v>
      </c>
      <c r="J10" s="8" t="n">
        <v>4415.61944528297</v>
      </c>
      <c r="K10" s="8" t="n">
        <v>31904.6530972439</v>
      </c>
      <c r="L10" s="8" t="n">
        <v>654.094949062743</v>
      </c>
      <c r="M10" s="8" t="n">
        <v>12.6069571233822</v>
      </c>
      <c r="N10" s="8" t="n">
        <v>800.889926082541</v>
      </c>
      <c r="O10" s="8" t="n">
        <v>9.7301503873569</v>
      </c>
      <c r="P10" s="8" t="n">
        <v>0.240381395507877</v>
      </c>
      <c r="Q10" s="8" t="n">
        <v>0.538720298025255</v>
      </c>
      <c r="R10" s="8" t="n">
        <v>0.234559946037072</v>
      </c>
      <c r="S10" s="8" t="n">
        <v>1449.30667307575</v>
      </c>
      <c r="T10" s="8" t="n">
        <v>1.70317563124113</v>
      </c>
      <c r="U10" s="8" t="n">
        <v>2.99056705315902</v>
      </c>
      <c r="V10" s="8" t="n">
        <v>0.723550771770538</v>
      </c>
      <c r="W10" s="8" t="n">
        <v>0.331376710267145</v>
      </c>
      <c r="X10" s="8" t="n">
        <v>75.8855035345231</v>
      </c>
      <c r="Y10" s="8" t="n">
        <v>0.083084948655122</v>
      </c>
      <c r="Z10" s="8" t="n">
        <v>-0.0258454243747354</v>
      </c>
      <c r="AA10" s="8" t="n">
        <v>0.0055004745940754</v>
      </c>
      <c r="AB10" s="8" t="n">
        <v>0.0103453780231623</v>
      </c>
      <c r="AC10" s="8" t="n">
        <v>0.0515825812972164</v>
      </c>
      <c r="AD10" s="8" t="n">
        <v>0.0235201960433695</v>
      </c>
      <c r="AE10" s="8" t="n">
        <v>176.126966867986</v>
      </c>
      <c r="AF10" s="8" t="n">
        <v>0.103050796847679</v>
      </c>
      <c r="AG10" s="8" t="n">
        <v>0.193603799500821</v>
      </c>
      <c r="AH10" s="8" t="n">
        <v>0.238250259323691</v>
      </c>
      <c r="AI10" s="8" t="n">
        <v>0.000936034254268796</v>
      </c>
      <c r="AJ10" s="8" t="n">
        <v>0.395429659135065</v>
      </c>
      <c r="AK10" s="8" t="n">
        <v>0.016218104427884</v>
      </c>
      <c r="AL10" s="8" t="n">
        <v>0.553076155153898</v>
      </c>
    </row>
    <row r="11" customFormat="false" ht="15" hidden="false" customHeight="false" outlineLevel="0" collapsed="false">
      <c r="A11" s="2" t="s">
        <v>47</v>
      </c>
      <c r="B11" s="3" t="n">
        <v>18</v>
      </c>
      <c r="C11" s="4" t="n">
        <v>0</v>
      </c>
      <c r="D11" s="5" t="n">
        <v>68203.9519393536</v>
      </c>
      <c r="E11" s="6" t="n">
        <v>0.517283775801168</v>
      </c>
      <c r="F11" s="6" t="n">
        <v>4.47073733852363</v>
      </c>
      <c r="G11" s="7" t="n">
        <f aca="false">(F11/58.6934)/(D11/40.078)*1000000</f>
        <v>44.7596197515518</v>
      </c>
      <c r="H11" s="7" t="n">
        <f aca="false">(E11/58.9332)/(D11/40.078)*1000000</f>
        <v>5.15780994448681</v>
      </c>
      <c r="I11" s="8" t="n">
        <v>653.771962762456</v>
      </c>
      <c r="J11" s="8" t="n">
        <v>4012.36345664776</v>
      </c>
      <c r="K11" s="8" t="n">
        <v>32765.5251364565</v>
      </c>
      <c r="L11" s="8" t="n">
        <v>551.598239906679</v>
      </c>
      <c r="M11" s="8" t="n">
        <v>11.7610184399624</v>
      </c>
      <c r="N11" s="8" t="n">
        <v>788.319393938556</v>
      </c>
      <c r="O11" s="8" t="n">
        <v>8.32712396608994</v>
      </c>
      <c r="P11" s="8" t="n">
        <v>0.221451791482721</v>
      </c>
      <c r="Q11" s="8" t="n">
        <v>0.516771895761022</v>
      </c>
      <c r="R11" s="8" t="n">
        <v>0.15243381988369</v>
      </c>
      <c r="S11" s="8" t="n">
        <v>1474.9671733302</v>
      </c>
      <c r="T11" s="8" t="n">
        <v>0.595372991846267</v>
      </c>
      <c r="U11" s="8" t="n">
        <v>1.80610932368909</v>
      </c>
      <c r="V11" s="8" t="n">
        <v>0.628132450026089</v>
      </c>
      <c r="W11" s="8" t="n">
        <v>0.311400306695798</v>
      </c>
      <c r="X11" s="8" t="n">
        <v>75.1944121235879</v>
      </c>
      <c r="Y11" s="8" t="n">
        <v>0.0720883032603961</v>
      </c>
      <c r="Z11" s="8" t="n">
        <v>-0.0198008110679787</v>
      </c>
      <c r="AA11" s="8" t="n">
        <v>0.00784832553622361</v>
      </c>
      <c r="AB11" s="8" t="n">
        <v>0.00615404540522458</v>
      </c>
      <c r="AC11" s="8" t="n">
        <v>0.0459718798413069</v>
      </c>
      <c r="AD11" s="8" t="n">
        <v>0.0205844685690388</v>
      </c>
      <c r="AE11" s="8" t="n">
        <v>173.433050812367</v>
      </c>
      <c r="AF11" s="8" t="n">
        <v>0.09132410952847</v>
      </c>
      <c r="AG11" s="8" t="n">
        <v>0.159252470578556</v>
      </c>
      <c r="AH11" s="8" t="n">
        <v>0.208481269053087</v>
      </c>
      <c r="AI11" s="8" t="n">
        <v>0.000823720081380225</v>
      </c>
      <c r="AJ11" s="8" t="n">
        <v>0.313001596577012</v>
      </c>
      <c r="AK11" s="8" t="n">
        <v>0.0124006819996386</v>
      </c>
      <c r="AL11" s="8" t="n">
        <v>0.568937655043548</v>
      </c>
    </row>
    <row r="12" customFormat="false" ht="15" hidden="false" customHeight="false" outlineLevel="0" collapsed="false">
      <c r="A12" s="2" t="s">
        <v>48</v>
      </c>
      <c r="B12" s="3" t="n">
        <v>20</v>
      </c>
      <c r="C12" s="4" t="n">
        <v>0</v>
      </c>
      <c r="D12" s="5" t="n">
        <v>66055.1351817821</v>
      </c>
      <c r="E12" s="6" t="n">
        <v>0.548589742898567</v>
      </c>
      <c r="F12" s="6" t="n">
        <v>4.69899912444022</v>
      </c>
      <c r="G12" s="7" t="n">
        <f aca="false">(F12/58.6934)/(D12/40.078)*1000000</f>
        <v>48.5753066847619</v>
      </c>
      <c r="H12" s="7" t="n">
        <f aca="false">(E12/58.9332)/(D12/40.078)*1000000</f>
        <v>5.64790151488269</v>
      </c>
      <c r="I12" s="8" t="n">
        <v>781.562862997126</v>
      </c>
      <c r="J12" s="8" t="n">
        <v>4575.24557605883</v>
      </c>
      <c r="K12" s="8" t="n">
        <v>32340.4789244446</v>
      </c>
      <c r="L12" s="8" t="n">
        <v>691.233021688948</v>
      </c>
      <c r="M12" s="8" t="n">
        <v>15.9016919197676</v>
      </c>
      <c r="N12" s="8" t="n">
        <v>942.378194321469</v>
      </c>
      <c r="O12" s="8" t="n">
        <v>10.5772188321649</v>
      </c>
      <c r="P12" s="8" t="n">
        <v>0.246621145845839</v>
      </c>
      <c r="Q12" s="8" t="n">
        <v>0.612387702418694</v>
      </c>
      <c r="R12" s="8" t="n">
        <v>0.870952752042726</v>
      </c>
      <c r="S12" s="8" t="n">
        <v>1461.77388322803</v>
      </c>
      <c r="T12" s="8" t="n">
        <v>1.11125453412061</v>
      </c>
      <c r="U12" s="8" t="n">
        <v>3.70389109215845</v>
      </c>
      <c r="V12" s="8" t="n">
        <v>0.658229823334642</v>
      </c>
      <c r="W12" s="8" t="n">
        <v>0.406341230391684</v>
      </c>
      <c r="X12" s="8" t="n">
        <v>75.3722164347977</v>
      </c>
      <c r="Y12" s="8" t="n">
        <v>0.0938963997279337</v>
      </c>
      <c r="Z12" s="8" t="n">
        <v>-0.0165678428935669</v>
      </c>
      <c r="AA12" s="8" t="n">
        <v>0.00905134024651363</v>
      </c>
      <c r="AB12" s="8" t="n">
        <v>0.0248438912192191</v>
      </c>
      <c r="AC12" s="8" t="n">
        <v>0.0760139592016386</v>
      </c>
      <c r="AD12" s="8" t="n">
        <v>0.0249488200833896</v>
      </c>
      <c r="AE12" s="8" t="n">
        <v>170.008099706464</v>
      </c>
      <c r="AF12" s="8" t="n">
        <v>0.117302273225423</v>
      </c>
      <c r="AG12" s="8" t="n">
        <v>0.217756751019232</v>
      </c>
      <c r="AH12" s="8" t="n">
        <v>0.230522831830645</v>
      </c>
      <c r="AI12" s="8" t="n">
        <v>-0.000108585246461384</v>
      </c>
      <c r="AJ12" s="8" t="n">
        <v>0.434174028332089</v>
      </c>
      <c r="AK12" s="8" t="n">
        <v>0.0167340072642575</v>
      </c>
      <c r="AL12" s="8" t="n">
        <v>0.56689680538425</v>
      </c>
    </row>
    <row r="13" customFormat="false" ht="15" hidden="false" customHeight="false" outlineLevel="0" collapsed="false">
      <c r="A13" s="2" t="s">
        <v>49</v>
      </c>
      <c r="B13" s="3" t="n">
        <v>16</v>
      </c>
      <c r="C13" s="4" t="n">
        <v>0</v>
      </c>
      <c r="D13" s="5" t="n">
        <v>66577.0892304952</v>
      </c>
      <c r="E13" s="6" t="n">
        <v>0.548244372537741</v>
      </c>
      <c r="F13" s="6" t="n">
        <v>4.35768111193201</v>
      </c>
      <c r="G13" s="7" t="n">
        <f aca="false">(F13/58.6934)/(D13/40.078)*1000000</f>
        <v>44.693813782603</v>
      </c>
      <c r="H13" s="7" t="n">
        <f aca="false">(E13/58.9332)/(D13/40.078)*1000000</f>
        <v>5.6000950245347</v>
      </c>
      <c r="I13" s="8" t="n">
        <v>670.370961496613</v>
      </c>
      <c r="J13" s="8" t="n">
        <v>4174.29909276582</v>
      </c>
      <c r="K13" s="8" t="n">
        <v>32440.1468571174</v>
      </c>
      <c r="L13" s="8" t="n">
        <v>672.771673358113</v>
      </c>
      <c r="M13" s="8" t="n">
        <v>12.2119039543063</v>
      </c>
      <c r="N13" s="8" t="n">
        <v>775.382161854774</v>
      </c>
      <c r="O13" s="8" t="n">
        <v>9.62735258505403</v>
      </c>
      <c r="P13" s="8" t="n">
        <v>0.221734342642531</v>
      </c>
      <c r="Q13" s="8" t="n">
        <v>0.581953219780731</v>
      </c>
      <c r="R13" s="8" t="n">
        <v>0.277667636511939</v>
      </c>
      <c r="S13" s="8" t="n">
        <v>1452.16767062235</v>
      </c>
      <c r="T13" s="8" t="n">
        <v>0.643458961187377</v>
      </c>
      <c r="U13" s="8" t="n">
        <v>2.9335795339707</v>
      </c>
      <c r="V13" s="8" t="n">
        <v>0.884143395686454</v>
      </c>
      <c r="W13" s="8" t="n">
        <v>0.330793464614446</v>
      </c>
      <c r="X13" s="8" t="n">
        <v>73.3988662581638</v>
      </c>
      <c r="Y13" s="8" t="n">
        <v>0.0833808932469495</v>
      </c>
      <c r="Z13" s="8" t="n">
        <v>-0.0243139275323191</v>
      </c>
      <c r="AA13" s="8" t="n">
        <v>0.00673086721016663</v>
      </c>
      <c r="AB13" s="8" t="n">
        <v>0.0365122931476025</v>
      </c>
      <c r="AC13" s="8" t="n">
        <v>0.0494481649276362</v>
      </c>
      <c r="AD13" s="8" t="n">
        <v>0.0218435964211929</v>
      </c>
      <c r="AE13" s="8" t="n">
        <v>169.819759323909</v>
      </c>
      <c r="AF13" s="8" t="n">
        <v>0.112140904876277</v>
      </c>
      <c r="AG13" s="8" t="n">
        <v>0.206094309615599</v>
      </c>
      <c r="AH13" s="8" t="n">
        <v>0.234855115403551</v>
      </c>
      <c r="AI13" s="8" t="n">
        <v>-0.000109708216609618</v>
      </c>
      <c r="AJ13" s="8" t="n">
        <v>0.977245444915117</v>
      </c>
      <c r="AK13" s="8" t="n">
        <v>0.0175183679184492</v>
      </c>
      <c r="AL13" s="8" t="n">
        <v>0.556195113415748</v>
      </c>
    </row>
    <row r="14" customFormat="false" ht="15" hidden="false" customHeight="false" outlineLevel="0" collapsed="false">
      <c r="A14" s="2" t="s">
        <v>50</v>
      </c>
      <c r="B14" s="3" t="n">
        <v>16</v>
      </c>
      <c r="C14" s="4" t="n">
        <v>0</v>
      </c>
      <c r="D14" s="5" t="n">
        <v>68835.9573404954</v>
      </c>
      <c r="E14" s="6" t="n">
        <v>0.542211129315782</v>
      </c>
      <c r="F14" s="6" t="n">
        <v>4.96813036270493</v>
      </c>
      <c r="G14" s="7" t="n">
        <f aca="false">(F14/58.6934)/(D14/40.078)*1000000</f>
        <v>49.2826893462151</v>
      </c>
      <c r="H14" s="7" t="n">
        <f aca="false">(E14/58.9332)/(D14/40.078)*1000000</f>
        <v>5.35672175522065</v>
      </c>
      <c r="I14" s="8" t="n">
        <v>867.657629487993</v>
      </c>
      <c r="J14" s="8" t="n">
        <v>4900.1263700541</v>
      </c>
      <c r="K14" s="8" t="n">
        <v>31885.8177414225</v>
      </c>
      <c r="L14" s="8" t="n">
        <v>969.721922795285</v>
      </c>
      <c r="M14" s="8" t="n">
        <v>19.001697867149</v>
      </c>
      <c r="N14" s="8" t="n">
        <v>937.845051352065</v>
      </c>
      <c r="O14" s="8" t="n">
        <v>12.5737532476415</v>
      </c>
      <c r="P14" s="8" t="n">
        <v>0.24059242631842</v>
      </c>
      <c r="Q14" s="8" t="n">
        <v>0.703481020296042</v>
      </c>
      <c r="R14" s="8" t="n">
        <v>0.314546871906025</v>
      </c>
      <c r="S14" s="8" t="n">
        <v>1474.56433647064</v>
      </c>
      <c r="T14" s="8" t="n">
        <v>1.40738677210405</v>
      </c>
      <c r="U14" s="8" t="n">
        <v>3.63116337745513</v>
      </c>
      <c r="V14" s="8" t="n">
        <v>0.673577991409166</v>
      </c>
      <c r="W14" s="8" t="n">
        <v>0.512096951016145</v>
      </c>
      <c r="X14" s="8" t="n">
        <v>73.7758246910317</v>
      </c>
      <c r="Y14" s="8" t="n">
        <v>0.113076844528913</v>
      </c>
      <c r="Z14" s="8" t="n">
        <v>-0.0264783819484022</v>
      </c>
      <c r="AA14" s="8" t="n">
        <v>0.00875502564297949</v>
      </c>
      <c r="AB14" s="8" t="n">
        <v>0.0338093992513432</v>
      </c>
      <c r="AC14" s="8" t="n">
        <v>0.0533510246191339</v>
      </c>
      <c r="AD14" s="8" t="n">
        <v>0.026407388975166</v>
      </c>
      <c r="AE14" s="8" t="n">
        <v>168.219449532294</v>
      </c>
      <c r="AF14" s="8" t="n">
        <v>0.142856612430976</v>
      </c>
      <c r="AG14" s="8" t="n">
        <v>0.274092656174219</v>
      </c>
      <c r="AH14" s="8" t="n">
        <v>0.314956718421503</v>
      </c>
      <c r="AI14" s="8" t="n">
        <v>0.000972491462360633</v>
      </c>
      <c r="AJ14" s="8" t="n">
        <v>0.497485360841963</v>
      </c>
      <c r="AK14" s="8" t="n">
        <v>0.0207333711835058</v>
      </c>
      <c r="AL14" s="8" t="n">
        <v>0.552862164773894</v>
      </c>
    </row>
    <row r="15" customFormat="false" ht="15" hidden="false" customHeight="false" outlineLevel="0" collapsed="false">
      <c r="A15" s="2" t="s">
        <v>51</v>
      </c>
      <c r="B15" s="3" t="n">
        <v>30</v>
      </c>
      <c r="C15" s="4" t="n">
        <v>0</v>
      </c>
      <c r="D15" s="5" t="n">
        <v>68796.1015540246</v>
      </c>
      <c r="E15" s="6" t="n">
        <v>0.543091825444637</v>
      </c>
      <c r="F15" s="6" t="n">
        <v>4.78193025547721</v>
      </c>
      <c r="G15" s="7" t="n">
        <f aca="false">(F15/58.6934)/(D15/40.078)*1000000</f>
        <v>47.4631088819172</v>
      </c>
      <c r="H15" s="7" t="n">
        <f aca="false">(E15/58.9332)/(D15/40.078)*1000000</f>
        <v>5.36853086759609</v>
      </c>
      <c r="I15" s="8" t="n">
        <v>721.062013701587</v>
      </c>
      <c r="J15" s="8" t="n">
        <v>4831.06108205669</v>
      </c>
      <c r="K15" s="8" t="n">
        <v>33508.5627266643</v>
      </c>
      <c r="L15" s="8" t="n">
        <v>765.642374763232</v>
      </c>
      <c r="M15" s="8" t="n">
        <v>9.75416115022276</v>
      </c>
      <c r="N15" s="8" t="n">
        <v>912.875989370806</v>
      </c>
      <c r="O15" s="8" t="n">
        <v>11.208264391245</v>
      </c>
      <c r="P15" s="8" t="n">
        <v>0.248321323650683</v>
      </c>
      <c r="Q15" s="8" t="n">
        <v>0.579104879263633</v>
      </c>
      <c r="R15" s="8" t="n">
        <v>0.288950681587127</v>
      </c>
      <c r="S15" s="8" t="n">
        <v>1495.55399537488</v>
      </c>
      <c r="T15" s="8" t="n">
        <v>0.742353139813091</v>
      </c>
      <c r="U15" s="8" t="n">
        <v>1.91335496163263</v>
      </c>
      <c r="V15" s="8" t="n">
        <v>0.633194562868196</v>
      </c>
      <c r="W15" s="8" t="n">
        <v>0.387555951720346</v>
      </c>
      <c r="X15" s="8" t="n">
        <v>76.4980292933204</v>
      </c>
      <c r="Y15" s="8" t="n">
        <v>0.087283004975987</v>
      </c>
      <c r="Z15" s="8" t="n">
        <v>-0.0119545056626311</v>
      </c>
      <c r="AA15" s="8" t="n">
        <v>0.00482800504260841</v>
      </c>
      <c r="AB15" s="8" t="n">
        <v>0.00746103512263899</v>
      </c>
      <c r="AC15" s="8" t="n">
        <v>0.0929059598033637</v>
      </c>
      <c r="AD15" s="8" t="n">
        <v>0.0211293355703367</v>
      </c>
      <c r="AE15" s="8" t="n">
        <v>179.723660483887</v>
      </c>
      <c r="AF15" s="8" t="n">
        <v>0.114710679387041</v>
      </c>
      <c r="AG15" s="8" t="n">
        <v>0.217868671202301</v>
      </c>
      <c r="AH15" s="8" t="n">
        <v>0.234748133571592</v>
      </c>
      <c r="AI15" s="8" t="n">
        <v>0.000671588051370713</v>
      </c>
      <c r="AJ15" s="8" t="n">
        <v>0.435581363746564</v>
      </c>
      <c r="AK15" s="8" t="n">
        <v>0.0133095589241392</v>
      </c>
      <c r="AL15" s="8" t="n">
        <v>0.591411287149066</v>
      </c>
    </row>
    <row r="16" customFormat="false" ht="15" hidden="false" customHeight="false" outlineLevel="0" collapsed="false">
      <c r="A16" s="2" t="s">
        <v>52</v>
      </c>
      <c r="B16" s="3" t="n">
        <v>34</v>
      </c>
      <c r="C16" s="4" t="n">
        <v>0</v>
      </c>
      <c r="D16" s="5" t="n">
        <v>70468.26239327</v>
      </c>
      <c r="E16" s="6" t="n">
        <v>0.571836235778001</v>
      </c>
      <c r="F16" s="6" t="n">
        <v>4.78373156617399</v>
      </c>
      <c r="G16" s="7" t="n">
        <f aca="false">(F16/58.6934)/(D16/40.078)*1000000</f>
        <v>46.3542983549098</v>
      </c>
      <c r="H16" s="7" t="n">
        <f aca="false">(E16/58.9332)/(D16/40.078)*1000000</f>
        <v>5.51853913553992</v>
      </c>
      <c r="I16" s="8" t="n">
        <v>449.141367891678</v>
      </c>
      <c r="J16" s="8" t="n">
        <v>3553.42133550766</v>
      </c>
      <c r="K16" s="8" t="n">
        <v>33389.1116445654</v>
      </c>
      <c r="L16" s="8" t="n">
        <v>523.21611151422</v>
      </c>
      <c r="M16" s="8" t="n">
        <v>13.1315289692438</v>
      </c>
      <c r="N16" s="8" t="n">
        <v>860.873254383517</v>
      </c>
      <c r="O16" s="8" t="n">
        <v>7.84467577926825</v>
      </c>
      <c r="P16" s="8" t="n">
        <v>0.230343600609668</v>
      </c>
      <c r="Q16" s="8" t="n">
        <v>0.454005572450929</v>
      </c>
      <c r="R16" s="8" t="n">
        <v>0.163992837414501</v>
      </c>
      <c r="S16" s="8" t="n">
        <v>1510.61456517352</v>
      </c>
      <c r="T16" s="8" t="n">
        <v>0.578151028198211</v>
      </c>
      <c r="U16" s="8" t="n">
        <v>2.42241976340404</v>
      </c>
      <c r="V16" s="8" t="n">
        <v>0.641729400104984</v>
      </c>
      <c r="W16" s="8" t="n">
        <v>0.336145917143714</v>
      </c>
      <c r="X16" s="8" t="n">
        <v>77.3651625990846</v>
      </c>
      <c r="Y16" s="8" t="n">
        <v>0.0591988347172706</v>
      </c>
      <c r="Z16" s="8" t="n">
        <v>-0.0240694150993361</v>
      </c>
      <c r="AA16" s="8" t="n">
        <v>0.00612641859908205</v>
      </c>
      <c r="AB16" s="8" t="n">
        <v>0.0152062537599479</v>
      </c>
      <c r="AC16" s="8" t="n">
        <v>0.0415982495403181</v>
      </c>
      <c r="AD16" s="8" t="n">
        <v>0.026334128012238</v>
      </c>
      <c r="AE16" s="8" t="n">
        <v>192.375113755559</v>
      </c>
      <c r="AF16" s="8" t="n">
        <v>0.0825354796875335</v>
      </c>
      <c r="AG16" s="8" t="n">
        <v>0.140995157482645</v>
      </c>
      <c r="AH16" s="8" t="n">
        <v>0.194925983711266</v>
      </c>
      <c r="AI16" s="8" t="n">
        <v>0.000528193517860639</v>
      </c>
      <c r="AJ16" s="8" t="n">
        <v>0.320436115141132</v>
      </c>
      <c r="AK16" s="8" t="n">
        <v>0.0091997768366568</v>
      </c>
      <c r="AL16" s="8" t="n">
        <v>0.577013588212073</v>
      </c>
    </row>
    <row r="17" customFormat="false" ht="15" hidden="false" customHeight="false" outlineLevel="0" collapsed="false">
      <c r="A17" s="2" t="s">
        <v>53</v>
      </c>
      <c r="B17" s="3" t="n">
        <v>19</v>
      </c>
      <c r="C17" s="4" t="n">
        <v>0</v>
      </c>
      <c r="D17" s="5" t="n">
        <v>66653.3608337597</v>
      </c>
      <c r="E17" s="6" t="n">
        <v>0.547346660351113</v>
      </c>
      <c r="F17" s="6" t="n">
        <v>5.36898113265616</v>
      </c>
      <c r="G17" s="7" t="n">
        <f aca="false">(F17/58.6934)/(D17/40.078)*1000000</f>
        <v>55.003027917316</v>
      </c>
      <c r="H17" s="7" t="n">
        <f aca="false">(E17/58.9332)/(D17/40.078)*1000000</f>
        <v>5.58452754741619</v>
      </c>
      <c r="I17" s="8" t="n">
        <v>837.426507561721</v>
      </c>
      <c r="J17" s="8" t="n">
        <v>5401.14040544532</v>
      </c>
      <c r="K17" s="8" t="n">
        <v>32137.5037952757</v>
      </c>
      <c r="L17" s="8" t="n">
        <v>1055.44982305784</v>
      </c>
      <c r="M17" s="8" t="n">
        <v>24.4772235980284</v>
      </c>
      <c r="N17" s="8" t="n">
        <v>1111.65058060824</v>
      </c>
      <c r="O17" s="8" t="n">
        <v>14.4069925184573</v>
      </c>
      <c r="P17" s="8" t="n">
        <v>0.310807619506445</v>
      </c>
      <c r="Q17" s="8" t="n">
        <v>2.18379930191203</v>
      </c>
      <c r="R17" s="8" t="n">
        <v>0.949412117032165</v>
      </c>
      <c r="S17" s="8" t="n">
        <v>1454.96616956079</v>
      </c>
      <c r="T17" s="8" t="n">
        <v>3.45860368087756</v>
      </c>
      <c r="U17" s="8" t="n">
        <v>18.6027888829103</v>
      </c>
      <c r="V17" s="8" t="n">
        <v>0.72364259877238</v>
      </c>
      <c r="W17" s="8" t="n">
        <v>0.587613136120297</v>
      </c>
      <c r="X17" s="8" t="n">
        <v>78.7244072338883</v>
      </c>
      <c r="Y17" s="8" t="n">
        <v>0.116793035358647</v>
      </c>
      <c r="Z17" s="8" t="n">
        <v>-0.0210273907401283</v>
      </c>
      <c r="AA17" s="8" t="n">
        <v>0.006746459507194</v>
      </c>
      <c r="AB17" s="8" t="n">
        <v>0.0157620539456529</v>
      </c>
      <c r="AC17" s="8" t="n">
        <v>0.0541167368775167</v>
      </c>
      <c r="AD17" s="8" t="n">
        <v>0.0250729145955821</v>
      </c>
      <c r="AE17" s="8" t="n">
        <v>188.798421563349</v>
      </c>
      <c r="AF17" s="8" t="n">
        <v>0.153448796976133</v>
      </c>
      <c r="AG17" s="8" t="n">
        <v>0.292293390082147</v>
      </c>
      <c r="AH17" s="8" t="n">
        <v>0.280339570025923</v>
      </c>
      <c r="AI17" s="8" t="n">
        <v>-0.000531242537324234</v>
      </c>
      <c r="AJ17" s="8" t="n">
        <v>0.52630827916255</v>
      </c>
      <c r="AK17" s="8" t="n">
        <v>0.0256361215602681</v>
      </c>
      <c r="AL17" s="8" t="n">
        <v>0.566486676304892</v>
      </c>
    </row>
    <row r="18" customFormat="false" ht="15" hidden="false" customHeight="false" outlineLevel="0" collapsed="false">
      <c r="A18" s="2" t="s">
        <v>54</v>
      </c>
      <c r="B18" s="3" t="n">
        <v>13</v>
      </c>
      <c r="C18" s="4" t="n">
        <v>0</v>
      </c>
      <c r="D18" s="5" t="n">
        <v>67270.9576059801</v>
      </c>
      <c r="E18" s="6" t="n">
        <v>0.555387818708448</v>
      </c>
      <c r="F18" s="6" t="n">
        <v>4.54098170300611</v>
      </c>
      <c r="G18" s="7" t="n">
        <f aca="false">(F18/58.6934)/(D18/40.078)*1000000</f>
        <v>46.0934181062204</v>
      </c>
      <c r="H18" s="7" t="n">
        <f aca="false">(E18/58.9332)/(D18/40.078)*1000000</f>
        <v>5.61454746620307</v>
      </c>
      <c r="I18" s="8" t="n">
        <v>838.27763233206</v>
      </c>
      <c r="J18" s="8" t="n">
        <v>5529.77927419158</v>
      </c>
      <c r="K18" s="8" t="n">
        <v>32814.5721153607</v>
      </c>
      <c r="L18" s="8" t="n">
        <v>1059.32074595328</v>
      </c>
      <c r="M18" s="8" t="n">
        <v>15.3600219697297</v>
      </c>
      <c r="N18" s="8" t="n">
        <v>874.000397644429</v>
      </c>
      <c r="O18" s="8" t="n">
        <v>14.0039565444861</v>
      </c>
      <c r="P18" s="8" t="n">
        <v>0.26268120418219</v>
      </c>
      <c r="Q18" s="8" t="n">
        <v>0.705134185538756</v>
      </c>
      <c r="R18" s="8" t="n">
        <v>0.514280364850444</v>
      </c>
      <c r="S18" s="8" t="n">
        <v>1418.18916778223</v>
      </c>
      <c r="T18" s="8" t="n">
        <v>0.774795616003105</v>
      </c>
      <c r="U18" s="8" t="n">
        <v>3.29505245336829</v>
      </c>
      <c r="V18" s="8" t="n">
        <v>0.63940709370672</v>
      </c>
      <c r="W18" s="8" t="n">
        <v>0.383359373192516</v>
      </c>
      <c r="X18" s="8" t="n">
        <v>76.4791734012487</v>
      </c>
      <c r="Y18" s="8" t="n">
        <v>0.131359655356548</v>
      </c>
      <c r="Z18" s="8" t="n">
        <v>-0.0258218078432459</v>
      </c>
      <c r="AA18" s="8" t="n">
        <v>0.00719554608990216</v>
      </c>
      <c r="AB18" s="8" t="n">
        <v>0.016358715123226</v>
      </c>
      <c r="AC18" s="8" t="n">
        <v>0.0554837066485069</v>
      </c>
      <c r="AD18" s="8" t="n">
        <v>0.0275198115725074</v>
      </c>
      <c r="AE18" s="8" t="n">
        <v>178.180424037587</v>
      </c>
      <c r="AF18" s="8" t="n">
        <v>0.163432095014056</v>
      </c>
      <c r="AG18" s="8" t="n">
        <v>0.305598727104802</v>
      </c>
      <c r="AH18" s="8" t="n">
        <v>0.242717006133435</v>
      </c>
      <c r="AI18" s="8" t="n">
        <v>-0.000187599905870859</v>
      </c>
      <c r="AJ18" s="8" t="n">
        <v>0.746636686351803</v>
      </c>
      <c r="AK18" s="8" t="n">
        <v>0.0224089924735044</v>
      </c>
      <c r="AL18" s="8" t="n">
        <v>0.542379094112813</v>
      </c>
    </row>
    <row r="19" customFormat="false" ht="15" hidden="false" customHeight="false" outlineLevel="0" collapsed="false">
      <c r="A19" s="2" t="s">
        <v>55</v>
      </c>
      <c r="B19" s="3" t="n">
        <v>13</v>
      </c>
      <c r="C19" s="4" t="n">
        <v>0</v>
      </c>
      <c r="D19" s="5" t="n">
        <v>67882.4108399698</v>
      </c>
      <c r="E19" s="6" t="n">
        <v>0.522861801008077</v>
      </c>
      <c r="F19" s="6" t="n">
        <v>4.52731089179908</v>
      </c>
      <c r="G19" s="7" t="n">
        <f aca="false">(F19/58.6934)/(D19/40.078)*1000000</f>
        <v>45.5407138202251</v>
      </c>
      <c r="H19" s="7" t="n">
        <f aca="false">(E19/58.9332)/(D19/40.078)*1000000</f>
        <v>5.23812278303622</v>
      </c>
      <c r="I19" s="8" t="n">
        <v>529.413892979623</v>
      </c>
      <c r="J19" s="8" t="n">
        <v>4637.70135165416</v>
      </c>
      <c r="K19" s="8" t="n">
        <v>32926.2429393509</v>
      </c>
      <c r="L19" s="8" t="n">
        <v>630.477452357791</v>
      </c>
      <c r="M19" s="8" t="n">
        <v>8.06900672725056</v>
      </c>
      <c r="N19" s="8" t="n">
        <v>859.160483714098</v>
      </c>
      <c r="O19" s="8" t="n">
        <v>9.48389819703293</v>
      </c>
      <c r="P19" s="8" t="n">
        <v>0.226101272659204</v>
      </c>
      <c r="Q19" s="8" t="n">
        <v>0.559573326331419</v>
      </c>
      <c r="R19" s="8" t="n">
        <v>0.305881881142056</v>
      </c>
      <c r="S19" s="8" t="n">
        <v>1441.78868898486</v>
      </c>
      <c r="T19" s="8" t="n">
        <v>0.833205120872024</v>
      </c>
      <c r="U19" s="8" t="n">
        <v>2.28822556673325</v>
      </c>
      <c r="V19" s="8" t="n">
        <v>0.631899492103418</v>
      </c>
      <c r="W19" s="8" t="n">
        <v>0.365442154744984</v>
      </c>
      <c r="X19" s="8" t="n">
        <v>74.6170709145548</v>
      </c>
      <c r="Y19" s="8" t="n">
        <v>0.0756175328133176</v>
      </c>
      <c r="Z19" s="8" t="n">
        <v>-0.0295190051107897</v>
      </c>
      <c r="AA19" s="8" t="n">
        <v>0.00481894069819606</v>
      </c>
      <c r="AB19" s="8" t="n">
        <v>0.00695107961942036</v>
      </c>
      <c r="AC19" s="8" t="n">
        <v>0.047165103772513</v>
      </c>
      <c r="AD19" s="8" t="n">
        <v>0.0207295338990171</v>
      </c>
      <c r="AE19" s="8" t="n">
        <v>170.914170863194</v>
      </c>
      <c r="AF19" s="8" t="n">
        <v>0.0961660974760723</v>
      </c>
      <c r="AG19" s="8" t="n">
        <v>0.172281879562264</v>
      </c>
      <c r="AH19" s="8" t="n">
        <v>0.200085474197249</v>
      </c>
      <c r="AI19" s="8" t="n">
        <v>0.000650256613287975</v>
      </c>
      <c r="AJ19" s="8" t="n">
        <v>0.496806351007823</v>
      </c>
      <c r="AK19" s="8" t="n">
        <v>0.012937492449437</v>
      </c>
      <c r="AL19" s="8" t="n">
        <v>0.569781342448193</v>
      </c>
    </row>
    <row r="20" customFormat="false" ht="15" hidden="false" customHeight="false" outlineLevel="0" collapsed="false">
      <c r="A20" s="2" t="s">
        <v>56</v>
      </c>
      <c r="B20" s="3" t="n">
        <v>13</v>
      </c>
      <c r="C20" s="4" t="n">
        <v>0</v>
      </c>
      <c r="D20" s="5" t="n">
        <v>65928.8026015144</v>
      </c>
      <c r="E20" s="6" t="n">
        <v>0.547986452927752</v>
      </c>
      <c r="F20" s="6" t="n">
        <v>4.88719808872419</v>
      </c>
      <c r="G20" s="7" t="n">
        <f aca="false">(F20/58.6934)/(D20/40.078)*1000000</f>
        <v>50.6175973675426</v>
      </c>
      <c r="H20" s="7" t="n">
        <f aca="false">(E20/58.9332)/(D20/40.078)*1000000</f>
        <v>5.65250104844616</v>
      </c>
      <c r="I20" s="8" t="n">
        <v>583.132082789237</v>
      </c>
      <c r="J20" s="8" t="n">
        <v>4741.98793897015</v>
      </c>
      <c r="K20" s="8" t="n">
        <v>32539.5197853097</v>
      </c>
      <c r="L20" s="8" t="n">
        <v>710.553582474116</v>
      </c>
      <c r="M20" s="8" t="n">
        <v>16.5802065712489</v>
      </c>
      <c r="N20" s="8" t="n">
        <v>803.825102791371</v>
      </c>
      <c r="O20" s="8" t="n">
        <v>10.8162437924461</v>
      </c>
      <c r="P20" s="8" t="n">
        <v>0.232923096917747</v>
      </c>
      <c r="Q20" s="8" t="n">
        <v>0.636693619343761</v>
      </c>
      <c r="R20" s="8" t="n">
        <v>0.333962204871732</v>
      </c>
      <c r="S20" s="8" t="n">
        <v>1438.99266043399</v>
      </c>
      <c r="T20" s="8" t="n">
        <v>0.754628867355949</v>
      </c>
      <c r="U20" s="8" t="n">
        <v>3.86169427120523</v>
      </c>
      <c r="V20" s="8" t="n">
        <v>0.77454968121198</v>
      </c>
      <c r="W20" s="8" t="n">
        <v>0.344927270909855</v>
      </c>
      <c r="X20" s="8" t="n">
        <v>76.2772974989621</v>
      </c>
      <c r="Y20" s="8" t="n">
        <v>0.085706445427382</v>
      </c>
      <c r="Z20" s="8" t="n">
        <v>0.00576262346744606</v>
      </c>
      <c r="AA20" s="8" t="n">
        <v>0.0062577793016464</v>
      </c>
      <c r="AB20" s="8" t="n">
        <v>0.00748167285955721</v>
      </c>
      <c r="AC20" s="8" t="n">
        <v>0.0341163660363786</v>
      </c>
      <c r="AD20" s="8" t="n">
        <v>0.0205194365667939</v>
      </c>
      <c r="AE20" s="8" t="n">
        <v>173.773154106402</v>
      </c>
      <c r="AF20" s="8" t="n">
        <v>0.11471248858913</v>
      </c>
      <c r="AG20" s="8" t="n">
        <v>0.20998222633085</v>
      </c>
      <c r="AH20" s="8" t="n">
        <v>0.252625015134367</v>
      </c>
      <c r="AI20" s="8" t="n">
        <v>0.000409710004039705</v>
      </c>
      <c r="AJ20" s="8" t="n">
        <v>0.451088956350697</v>
      </c>
      <c r="AK20" s="8" t="n">
        <v>0.0170360101991377</v>
      </c>
      <c r="AL20" s="8" t="n">
        <v>0.584467013594145</v>
      </c>
    </row>
    <row r="21" customFormat="false" ht="15" hidden="false" customHeight="false" outlineLevel="0" collapsed="false">
      <c r="A21" s="2" t="s">
        <v>57</v>
      </c>
      <c r="B21" s="3" t="n">
        <v>13</v>
      </c>
      <c r="C21" s="4" t="n">
        <v>0</v>
      </c>
      <c r="D21" s="5" t="n">
        <v>65331.5385782619</v>
      </c>
      <c r="E21" s="6" t="n">
        <v>0.558128891415912</v>
      </c>
      <c r="F21" s="6" t="n">
        <v>4.92755243380886</v>
      </c>
      <c r="G21" s="7" t="n">
        <f aca="false">(F21/58.6934)/(D21/40.078)*1000000</f>
        <v>51.5021241020076</v>
      </c>
      <c r="H21" s="7" t="n">
        <f aca="false">(E21/58.9332)/(D21/40.078)*1000000</f>
        <v>5.80975255645551</v>
      </c>
      <c r="I21" s="8" t="n">
        <v>476.259681748578</v>
      </c>
      <c r="J21" s="8" t="n">
        <v>4464.48861360133</v>
      </c>
      <c r="K21" s="8" t="n">
        <v>32163.4614878278</v>
      </c>
      <c r="L21" s="8" t="n">
        <v>654.246325729975</v>
      </c>
      <c r="M21" s="8" t="n">
        <v>17.67703006497</v>
      </c>
      <c r="N21" s="8" t="n">
        <v>950.2877448396</v>
      </c>
      <c r="O21" s="8" t="n">
        <v>9.86465647256339</v>
      </c>
      <c r="P21" s="8" t="n">
        <v>0.20815988577713</v>
      </c>
      <c r="Q21" s="8" t="n">
        <v>0.525124271168805</v>
      </c>
      <c r="R21" s="8" t="n">
        <v>0.827800233350977</v>
      </c>
      <c r="S21" s="8" t="n">
        <v>1407.98016988025</v>
      </c>
      <c r="T21" s="8" t="n">
        <v>1.18066866572252</v>
      </c>
      <c r="U21" s="8" t="n">
        <v>4.70891993494238</v>
      </c>
      <c r="V21" s="8" t="n">
        <v>0.857402850274369</v>
      </c>
      <c r="W21" s="8" t="n">
        <v>0.5042174802889</v>
      </c>
      <c r="X21" s="8" t="n">
        <v>72.6388080157558</v>
      </c>
      <c r="Y21" s="8" t="n">
        <v>0.0818091305780859</v>
      </c>
      <c r="Z21" s="8" t="n">
        <v>-0.0301683885468855</v>
      </c>
      <c r="AA21" s="8" t="n">
        <v>0.00676123805522215</v>
      </c>
      <c r="AB21" s="8" t="n">
        <v>0.00888787529614914</v>
      </c>
      <c r="AC21" s="8" t="n">
        <v>0.0432024578416634</v>
      </c>
      <c r="AD21" s="8" t="n">
        <v>0.0143013413125449</v>
      </c>
      <c r="AE21" s="8" t="n">
        <v>167.004648767301</v>
      </c>
      <c r="AF21" s="8" t="n">
        <v>0.0953607302074259</v>
      </c>
      <c r="AG21" s="8" t="n">
        <v>0.198651057349096</v>
      </c>
      <c r="AH21" s="8" t="n">
        <v>0.22781640174091</v>
      </c>
      <c r="AI21" s="8" t="n">
        <v>-0.000678686664878104</v>
      </c>
      <c r="AJ21" s="8" t="n">
        <v>0.554397434997948</v>
      </c>
      <c r="AK21" s="8" t="n">
        <v>0.0137711627178992</v>
      </c>
      <c r="AL21" s="8" t="n">
        <v>0.571269617097008</v>
      </c>
    </row>
    <row r="22" customFormat="false" ht="15" hidden="false" customHeight="false" outlineLevel="0" collapsed="false">
      <c r="A22" s="2" t="s">
        <v>58</v>
      </c>
      <c r="B22" s="3" t="n">
        <v>13</v>
      </c>
      <c r="C22" s="4" t="n">
        <v>0</v>
      </c>
      <c r="D22" s="5" t="n">
        <v>55821.7776307097</v>
      </c>
      <c r="E22" s="6" t="n">
        <v>0.446796005615191</v>
      </c>
      <c r="F22" s="6" t="n">
        <v>4.30960140883593</v>
      </c>
      <c r="G22" s="7" t="n">
        <f aca="false">(F22/58.6934)/(D22/40.078)*1000000</f>
        <v>52.7169426262904</v>
      </c>
      <c r="H22" s="7" t="n">
        <f aca="false">(E22/58.9332)/(D22/40.078)*1000000</f>
        <v>5.44316672487438</v>
      </c>
      <c r="I22" s="8" t="n">
        <v>341.932012206395</v>
      </c>
      <c r="J22" s="8" t="n">
        <v>4453.02387523204</v>
      </c>
      <c r="K22" s="8" t="n">
        <v>32331.0403785085</v>
      </c>
      <c r="L22" s="8" t="n">
        <v>533.866682148312</v>
      </c>
      <c r="M22" s="8" t="n">
        <v>16.4455876124094</v>
      </c>
      <c r="N22" s="8" t="n">
        <v>1224.77662951949</v>
      </c>
      <c r="O22" s="8" t="n">
        <v>7.96202254260897</v>
      </c>
      <c r="P22" s="8" t="n">
        <v>0.236375809253599</v>
      </c>
      <c r="Q22" s="8" t="n">
        <v>0.541373631060373</v>
      </c>
      <c r="R22" s="8" t="n">
        <v>0.81148974089853</v>
      </c>
      <c r="S22" s="8" t="n">
        <v>1114.6760219095</v>
      </c>
      <c r="T22" s="8" t="n">
        <v>1.41785008668858</v>
      </c>
      <c r="U22" s="8" t="n">
        <v>6.79413339801749</v>
      </c>
      <c r="V22" s="8" t="n">
        <v>0.999932318063144</v>
      </c>
      <c r="W22" s="8" t="n">
        <v>0.671914659673688</v>
      </c>
      <c r="X22" s="8" t="n">
        <v>72.0775323389283</v>
      </c>
      <c r="Y22" s="8" t="n">
        <v>0.0609884097957572</v>
      </c>
      <c r="Z22" s="8" t="n">
        <v>-0.00745156863347697</v>
      </c>
      <c r="AA22" s="8" t="n">
        <v>0.010154404634314</v>
      </c>
      <c r="AB22" s="8" t="n">
        <v>0.0316548749106932</v>
      </c>
      <c r="AC22" s="8" t="n">
        <v>0.0601523217845579</v>
      </c>
      <c r="AD22" s="8" t="n">
        <v>0.0193075196158079</v>
      </c>
      <c r="AE22" s="8" t="n">
        <v>162.720742947414</v>
      </c>
      <c r="AF22" s="8" t="n">
        <v>0.0866254126120905</v>
      </c>
      <c r="AG22" s="8" t="n">
        <v>0.147333295670698</v>
      </c>
      <c r="AH22" s="8" t="n">
        <v>0.179068919939797</v>
      </c>
      <c r="AI22" s="8" t="n">
        <v>0.000799589550521318</v>
      </c>
      <c r="AJ22" s="8" t="n">
        <v>0.67540996733609</v>
      </c>
      <c r="AK22" s="8" t="n">
        <v>0.0126514913141098</v>
      </c>
      <c r="AL22" s="8" t="n">
        <v>0.54929900062898</v>
      </c>
    </row>
    <row r="23" customFormat="false" ht="15" hidden="false" customHeight="false" outlineLevel="0" collapsed="false">
      <c r="A23" s="2" t="s">
        <v>59</v>
      </c>
      <c r="B23" s="3" t="n">
        <v>13</v>
      </c>
      <c r="C23" s="4" t="n">
        <v>0</v>
      </c>
      <c r="D23" s="5" t="n">
        <v>64973.4200447028</v>
      </c>
      <c r="E23" s="6" t="n">
        <v>0.550189060067445</v>
      </c>
      <c r="F23" s="6" t="n">
        <v>5.33238351964928</v>
      </c>
      <c r="G23" s="7" t="n">
        <f aca="false">(F23/58.6934)/(D23/40.078)*1000000</f>
        <v>56.040554362728</v>
      </c>
      <c r="H23" s="7" t="n">
        <f aca="false">(E23/58.9332)/(D23/40.078)*1000000</f>
        <v>5.75867064402937</v>
      </c>
      <c r="I23" s="8" t="n">
        <v>1298.81330828928</v>
      </c>
      <c r="J23" s="8" t="n">
        <v>8655.25494602822</v>
      </c>
      <c r="K23" s="8" t="n">
        <v>31907.4652055757</v>
      </c>
      <c r="L23" s="8" t="n">
        <v>1991.45362909578</v>
      </c>
      <c r="M23" s="8" t="n">
        <v>73.8794280721507</v>
      </c>
      <c r="N23" s="8" t="n">
        <v>908.978118385351</v>
      </c>
      <c r="O23" s="8" t="n">
        <v>26.983316263483</v>
      </c>
      <c r="P23" s="8" t="n">
        <v>0.439590718126835</v>
      </c>
      <c r="Q23" s="8" t="n">
        <v>4.67847323908582</v>
      </c>
      <c r="R23" s="8" t="n">
        <v>7.35463859787318</v>
      </c>
      <c r="S23" s="8" t="n">
        <v>1419.51097879477</v>
      </c>
      <c r="T23" s="8" t="n">
        <v>1.80151389411512</v>
      </c>
      <c r="U23" s="8" t="n">
        <v>5.02237236410972</v>
      </c>
      <c r="V23" s="8" t="n">
        <v>0.875927152282168</v>
      </c>
      <c r="W23" s="8" t="n">
        <v>0.731624627168154</v>
      </c>
      <c r="X23" s="8" t="n">
        <v>76.690642555026</v>
      </c>
      <c r="Y23" s="8" t="n">
        <v>0.543057299713001</v>
      </c>
      <c r="Z23" s="8" t="n">
        <v>0.0131108702366414</v>
      </c>
      <c r="AA23" s="8" t="n">
        <v>0.00531871377875383</v>
      </c>
      <c r="AB23" s="8" t="n">
        <v>0.0763908035058607</v>
      </c>
      <c r="AC23" s="8" t="n">
        <v>0.0590578622817534</v>
      </c>
      <c r="AD23" s="8" t="n">
        <v>0.314930672108392</v>
      </c>
      <c r="AE23" s="8" t="n">
        <v>170.064377734211</v>
      </c>
      <c r="AF23" s="8" t="n">
        <v>0.608206124254927</v>
      </c>
      <c r="AG23" s="8" t="n">
        <v>1.37823439372661</v>
      </c>
      <c r="AH23" s="8" t="n">
        <v>0.111668431068237</v>
      </c>
      <c r="AI23" s="8" t="n">
        <v>0.000725346876820396</v>
      </c>
      <c r="AJ23" s="8" t="n">
        <v>0.696783712966113</v>
      </c>
      <c r="AK23" s="8" t="n">
        <v>0.153161032924568</v>
      </c>
      <c r="AL23" s="8" t="n">
        <v>0.625434723787187</v>
      </c>
    </row>
    <row r="24" customFormat="false" ht="15" hidden="false" customHeight="false" outlineLevel="0" collapsed="false">
      <c r="A24" s="2" t="s">
        <v>60</v>
      </c>
      <c r="B24" s="3" t="n">
        <v>16</v>
      </c>
      <c r="C24" s="4" t="n">
        <v>0</v>
      </c>
      <c r="D24" s="5" t="n">
        <v>65376.0807672012</v>
      </c>
      <c r="E24" s="6" t="n">
        <v>0.540108919173802</v>
      </c>
      <c r="F24" s="6" t="n">
        <v>5.05273883602243</v>
      </c>
      <c r="G24" s="7" t="n">
        <f aca="false">(F24/58.6934)/(D24/40.078)*1000000</f>
        <v>52.7745747492843</v>
      </c>
      <c r="H24" s="7" t="n">
        <f aca="false">(E24/58.9332)/(D24/40.078)*1000000</f>
        <v>5.61834605076643</v>
      </c>
      <c r="I24" s="8" t="n">
        <v>1335.39175372709</v>
      </c>
      <c r="J24" s="8" t="n">
        <v>9127.80226339623</v>
      </c>
      <c r="K24" s="8" t="n">
        <v>31712.7340477159</v>
      </c>
      <c r="L24" s="8" t="n">
        <v>2086.24537362856</v>
      </c>
      <c r="M24" s="8" t="n">
        <v>33.3886475500858</v>
      </c>
      <c r="N24" s="8" t="n">
        <v>918.233613112852</v>
      </c>
      <c r="O24" s="8" t="n">
        <v>26.7888219541273</v>
      </c>
      <c r="P24" s="8" t="n">
        <v>0.402553354467051</v>
      </c>
      <c r="Q24" s="8" t="n">
        <v>5.22664228261553</v>
      </c>
      <c r="R24" s="8" t="n">
        <v>1.18778632003302</v>
      </c>
      <c r="S24" s="8" t="n">
        <v>1387.55080960934</v>
      </c>
      <c r="T24" s="8" t="n">
        <v>1.14522168250821</v>
      </c>
      <c r="U24" s="8" t="n">
        <v>11.9034549039756</v>
      </c>
      <c r="V24" s="8" t="n">
        <v>1.05236547055224</v>
      </c>
      <c r="W24" s="8" t="n">
        <v>0.637369877468887</v>
      </c>
      <c r="X24" s="8" t="n">
        <v>76.1924608596594</v>
      </c>
      <c r="Y24" s="8" t="n">
        <v>0.476870806293401</v>
      </c>
      <c r="Z24" s="8" t="n">
        <v>-0.0239518065690065</v>
      </c>
      <c r="AA24" s="8" t="n">
        <v>0.00533752862664352</v>
      </c>
      <c r="AB24" s="8" t="n">
        <v>0.322591989428947</v>
      </c>
      <c r="AC24" s="8" t="n">
        <v>0.0768770340862559</v>
      </c>
      <c r="AD24" s="8" t="n">
        <v>0.353524413805962</v>
      </c>
      <c r="AE24" s="8" t="n">
        <v>183.5728324948</v>
      </c>
      <c r="AF24" s="8" t="n">
        <v>0.561941755239387</v>
      </c>
      <c r="AG24" s="8" t="n">
        <v>1.32596734720873</v>
      </c>
      <c r="AH24" s="8" t="n">
        <v>0.120289889212668</v>
      </c>
      <c r="AI24" s="8" t="n">
        <v>0.00119857301230045</v>
      </c>
      <c r="AJ24" s="8" t="n">
        <v>0.480213533083633</v>
      </c>
      <c r="AK24" s="8" t="n">
        <v>0.158683113155268</v>
      </c>
      <c r="AL24" s="8" t="n">
        <v>0.59438320123338</v>
      </c>
    </row>
    <row r="25" customFormat="false" ht="15" hidden="false" customHeight="false" outlineLevel="0" collapsed="false">
      <c r="A25" s="2" t="s">
        <v>61</v>
      </c>
      <c r="B25" s="3" t="n">
        <v>28</v>
      </c>
      <c r="C25" s="4" t="n">
        <v>0</v>
      </c>
      <c r="D25" s="5" t="n">
        <v>67720.1959602147</v>
      </c>
      <c r="E25" s="6" t="n">
        <v>0.602534314142363</v>
      </c>
      <c r="F25" s="6" t="n">
        <v>5.66757958889156</v>
      </c>
      <c r="G25" s="7" t="n">
        <f aca="false">(F25/58.6934)/(D25/40.078)*1000000</f>
        <v>57.1473628779246</v>
      </c>
      <c r="H25" s="7" t="n">
        <f aca="false">(E25/58.9332)/(D25/40.078)*1000000</f>
        <v>6.05075538924535</v>
      </c>
      <c r="I25" s="8" t="n">
        <v>1325.91086929824</v>
      </c>
      <c r="J25" s="8" t="n">
        <v>8360.42864430445</v>
      </c>
      <c r="K25" s="8" t="n">
        <v>33492.219187651</v>
      </c>
      <c r="L25" s="8" t="n">
        <v>1939.94007284493</v>
      </c>
      <c r="M25" s="8" t="n">
        <v>10.4245537778178</v>
      </c>
      <c r="N25" s="8" t="n">
        <v>1013.87554211675</v>
      </c>
      <c r="O25" s="8" t="n">
        <v>37.1075790956856</v>
      </c>
      <c r="P25" s="8" t="n">
        <v>0.463509338722839</v>
      </c>
      <c r="Q25" s="8" t="n">
        <v>4.34300678244716</v>
      </c>
      <c r="R25" s="8" t="n">
        <v>0.870019551819919</v>
      </c>
      <c r="S25" s="8" t="n">
        <v>1469.91948445399</v>
      </c>
      <c r="T25" s="8" t="n">
        <v>1.51836661653621</v>
      </c>
      <c r="U25" s="8" t="n">
        <v>2.99487208238761</v>
      </c>
      <c r="V25" s="8" t="n">
        <v>0.91267315828595</v>
      </c>
      <c r="W25" s="8" t="n">
        <v>0.728817001283668</v>
      </c>
      <c r="X25" s="8" t="n">
        <v>81.1009717753903</v>
      </c>
      <c r="Y25" s="8" t="n">
        <v>0.441399116720625</v>
      </c>
      <c r="Z25" s="8" t="n">
        <v>-0.0110664693381167</v>
      </c>
      <c r="AA25" s="8" t="n">
        <v>0.00449139644487367</v>
      </c>
      <c r="AB25" s="8" t="n">
        <v>0.0476488098729476</v>
      </c>
      <c r="AC25" s="8" t="n">
        <v>0.0650150164710151</v>
      </c>
      <c r="AD25" s="8" t="n">
        <v>0.335961229011633</v>
      </c>
      <c r="AE25" s="8" t="n">
        <v>199.473292871884</v>
      </c>
      <c r="AF25" s="8" t="n">
        <v>0.521977372197176</v>
      </c>
      <c r="AG25" s="8" t="n">
        <v>1.22554947472946</v>
      </c>
      <c r="AH25" s="8" t="n">
        <v>0.109231081403453</v>
      </c>
      <c r="AI25" s="8" t="n">
        <v>0.000885991546692121</v>
      </c>
      <c r="AJ25" s="8" t="n">
        <v>0.550553870914736</v>
      </c>
      <c r="AK25" s="8" t="n">
        <v>0.120321108919457</v>
      </c>
      <c r="AL25" s="8" t="n">
        <v>0.60937285782135</v>
      </c>
    </row>
    <row r="26" customFormat="false" ht="15" hidden="false" customHeight="false" outlineLevel="0" collapsed="false">
      <c r="A26" s="2" t="s">
        <v>62</v>
      </c>
      <c r="B26" s="3" t="n">
        <v>28</v>
      </c>
      <c r="C26" s="4" t="n">
        <v>0</v>
      </c>
      <c r="D26" s="5" t="n">
        <v>68222.0522265769</v>
      </c>
      <c r="E26" s="6" t="n">
        <v>0.605186223330871</v>
      </c>
      <c r="F26" s="6" t="n">
        <v>5.88616366542206</v>
      </c>
      <c r="G26" s="7" t="n">
        <f aca="false">(F26/58.6934)/(D26/40.078)*1000000</f>
        <v>58.9147890283449</v>
      </c>
      <c r="H26" s="7" t="n">
        <f aca="false">(E26/58.9332)/(D26/40.078)*1000000</f>
        <v>6.03267975028679</v>
      </c>
      <c r="I26" s="8" t="n">
        <v>1755.92659691637</v>
      </c>
      <c r="J26" s="8" t="n">
        <v>9141.23134220253</v>
      </c>
      <c r="K26" s="8" t="n">
        <v>32551.9959920041</v>
      </c>
      <c r="L26" s="8" t="n">
        <v>2130.54520934001</v>
      </c>
      <c r="M26" s="8" t="n">
        <v>27.7496153641239</v>
      </c>
      <c r="N26" s="8" t="n">
        <v>921.695684377886</v>
      </c>
      <c r="O26" s="8" t="n">
        <v>41.4379462806869</v>
      </c>
      <c r="P26" s="8" t="n">
        <v>0.448189744933578</v>
      </c>
      <c r="Q26" s="8" t="n">
        <v>5.73224216102182</v>
      </c>
      <c r="R26" s="8" t="n">
        <v>0.990226372106224</v>
      </c>
      <c r="S26" s="8" t="n">
        <v>1424.56884933425</v>
      </c>
      <c r="T26" s="8" t="n">
        <v>1.23820211721257</v>
      </c>
      <c r="U26" s="8" t="n">
        <v>2.65903996906062</v>
      </c>
      <c r="V26" s="8" t="n">
        <v>0.944784750958742</v>
      </c>
      <c r="W26" s="8" t="n">
        <v>0.714327581615308</v>
      </c>
      <c r="X26" s="8" t="n">
        <v>84.055067072357</v>
      </c>
      <c r="Y26" s="8" t="n">
        <v>0.523039395251927</v>
      </c>
      <c r="Z26" s="8" t="n">
        <v>-0.0168959125115363</v>
      </c>
      <c r="AA26" s="8" t="n">
        <v>0.00518146154781006</v>
      </c>
      <c r="AB26" s="8" t="n">
        <v>0.127477242839605</v>
      </c>
      <c r="AC26" s="8" t="n">
        <v>0.0657736427108884</v>
      </c>
      <c r="AD26" s="8" t="n">
        <v>0.386156372448343</v>
      </c>
      <c r="AE26" s="8" t="n">
        <v>197.82349707523</v>
      </c>
      <c r="AF26" s="8" t="n">
        <v>0.625476082824757</v>
      </c>
      <c r="AG26" s="8" t="n">
        <v>1.42760072306908</v>
      </c>
      <c r="AH26" s="8" t="n">
        <v>0.164230962448112</v>
      </c>
      <c r="AI26" s="8" t="n">
        <v>0.000164903847682852</v>
      </c>
      <c r="AJ26" s="8" t="n">
        <v>0.791834323146192</v>
      </c>
      <c r="AK26" s="8" t="n">
        <v>0.15798752366184</v>
      </c>
      <c r="AL26" s="8" t="n">
        <v>0.65408321903199</v>
      </c>
    </row>
    <row r="27" customFormat="false" ht="15" hidden="false" customHeight="false" outlineLevel="0" collapsed="false">
      <c r="A27" s="2" t="s">
        <v>63</v>
      </c>
      <c r="B27" s="3" t="n">
        <v>22</v>
      </c>
      <c r="C27" s="4" t="n">
        <v>0</v>
      </c>
      <c r="D27" s="5" t="n">
        <v>67843.4906622501</v>
      </c>
      <c r="E27" s="6" t="n">
        <v>0.572114590788945</v>
      </c>
      <c r="F27" s="6" t="n">
        <v>5.40649953982622</v>
      </c>
      <c r="G27" s="7" t="n">
        <f aca="false">(F27/58.6934)/(D27/40.078)*1000000</f>
        <v>54.4157673962395</v>
      </c>
      <c r="H27" s="7" t="n">
        <f aca="false">(E27/58.9332)/(D27/40.078)*1000000</f>
        <v>5.73483406606353</v>
      </c>
      <c r="I27" s="8" t="n">
        <v>1434.0824033908</v>
      </c>
      <c r="J27" s="8" t="n">
        <v>8622.19424986285</v>
      </c>
      <c r="K27" s="8" t="n">
        <v>32910.7876595786</v>
      </c>
      <c r="L27" s="8" t="n">
        <v>1914.36126493032</v>
      </c>
      <c r="M27" s="8" t="n">
        <v>36.1469094275862</v>
      </c>
      <c r="N27" s="8" t="n">
        <v>894.233240056573</v>
      </c>
      <c r="O27" s="8" t="n">
        <v>34.2777818777178</v>
      </c>
      <c r="P27" s="8" t="n">
        <v>0.391141814555106</v>
      </c>
      <c r="Q27" s="8" t="n">
        <v>4.80494937270462</v>
      </c>
      <c r="R27" s="8" t="n">
        <v>1.16673874623541</v>
      </c>
      <c r="S27" s="8" t="n">
        <v>1413.48405662051</v>
      </c>
      <c r="T27" s="8" t="n">
        <v>1.08676808908395</v>
      </c>
      <c r="U27" s="8" t="n">
        <v>5.68384559887309</v>
      </c>
      <c r="V27" s="8" t="n">
        <v>0.943800942082903</v>
      </c>
      <c r="W27" s="8" t="n">
        <v>0.615939196980298</v>
      </c>
      <c r="X27" s="8" t="n">
        <v>78.7351209567974</v>
      </c>
      <c r="Y27" s="8" t="n">
        <v>0.421837182514677</v>
      </c>
      <c r="Z27" s="8" t="n">
        <v>-0.00599245052699553</v>
      </c>
      <c r="AA27" s="8" t="n">
        <v>0.00502951629914983</v>
      </c>
      <c r="AB27" s="8" t="n">
        <v>0.0545040783742077</v>
      </c>
      <c r="AC27" s="8" t="n">
        <v>0.0609333183828437</v>
      </c>
      <c r="AD27" s="8" t="n">
        <v>0.343978725484545</v>
      </c>
      <c r="AE27" s="8" t="n">
        <v>173.963517743803</v>
      </c>
      <c r="AF27" s="8" t="n">
        <v>0.500526189030147</v>
      </c>
      <c r="AG27" s="8" t="n">
        <v>1.20202290188381</v>
      </c>
      <c r="AH27" s="8" t="n">
        <v>0.162048546673291</v>
      </c>
      <c r="AI27" s="8" t="n">
        <v>0.000370122938701026</v>
      </c>
      <c r="AJ27" s="8" t="n">
        <v>0.590818070567159</v>
      </c>
      <c r="AK27" s="8" t="n">
        <v>0.121523887802071</v>
      </c>
      <c r="AL27" s="8" t="n">
        <v>0.600954596752751</v>
      </c>
    </row>
    <row r="28" customFormat="false" ht="15" hidden="false" customHeight="false" outlineLevel="0" collapsed="false">
      <c r="A28" s="2" t="s">
        <v>64</v>
      </c>
      <c r="B28" s="3" t="n">
        <v>16</v>
      </c>
      <c r="C28" s="4" t="n">
        <v>0</v>
      </c>
      <c r="D28" s="5" t="n">
        <v>57978.0125166603</v>
      </c>
      <c r="E28" s="6" t="n">
        <v>0.490192744146668</v>
      </c>
      <c r="F28" s="6" t="n">
        <v>5.78281367129307</v>
      </c>
      <c r="G28" s="7" t="n">
        <f aca="false">(F28/58.6934)/(D28/40.078)*1000000</f>
        <v>68.1071407417502</v>
      </c>
      <c r="H28" s="7" t="n">
        <f aca="false">(E28/58.9332)/(D28/40.078)*1000000</f>
        <v>5.74975808225583</v>
      </c>
      <c r="I28" s="8" t="n">
        <v>1595.00044363172</v>
      </c>
      <c r="J28" s="8" t="n">
        <v>9322.97971982267</v>
      </c>
      <c r="K28" s="8" t="n">
        <v>32420.5171045687</v>
      </c>
      <c r="L28" s="8" t="n">
        <v>2058.77783546746</v>
      </c>
      <c r="M28" s="8" t="n">
        <v>27.062203905783</v>
      </c>
      <c r="N28" s="8" t="n">
        <v>1088.45225770556</v>
      </c>
      <c r="O28" s="8" t="n">
        <v>37.0549608923171</v>
      </c>
      <c r="P28" s="8" t="n">
        <v>0.4145562620188</v>
      </c>
      <c r="Q28" s="8" t="n">
        <v>4.78651701161281</v>
      </c>
      <c r="R28" s="8" t="n">
        <v>1.02481863551251</v>
      </c>
      <c r="S28" s="8" t="n">
        <v>1125.62556020515</v>
      </c>
      <c r="T28" s="8" t="n">
        <v>3.04719875967136</v>
      </c>
      <c r="U28" s="8" t="n">
        <v>12.1877888105955</v>
      </c>
      <c r="V28" s="8" t="n">
        <v>0.943532116864949</v>
      </c>
      <c r="W28" s="8" t="n">
        <v>0.821876573194002</v>
      </c>
      <c r="X28" s="8" t="n">
        <v>72.2280738578101</v>
      </c>
      <c r="Y28" s="8" t="n">
        <v>0.448094511020497</v>
      </c>
      <c r="Z28" s="8" t="n">
        <v>0.00294707534679767</v>
      </c>
      <c r="AA28" s="8" t="n">
        <v>0.0079970623652346</v>
      </c>
      <c r="AB28" s="8" t="n">
        <v>0.205811878126154</v>
      </c>
      <c r="AC28" s="8" t="n">
        <v>0.0822138560163427</v>
      </c>
      <c r="AD28" s="8" t="n">
        <v>0.371707347156566</v>
      </c>
      <c r="AE28" s="8" t="n">
        <v>161.170702156503</v>
      </c>
      <c r="AF28" s="8" t="n">
        <v>0.502340389491632</v>
      </c>
      <c r="AG28" s="8" t="n">
        <v>1.20863909966754</v>
      </c>
      <c r="AH28" s="8" t="n">
        <v>0.140169436559527</v>
      </c>
      <c r="AI28" s="8" t="n">
        <v>-0.000691966629871802</v>
      </c>
      <c r="AJ28" s="8" t="n">
        <v>0.764166118414562</v>
      </c>
      <c r="AK28" s="8" t="n">
        <v>0.10489850830362</v>
      </c>
      <c r="AL28" s="8" t="n">
        <v>0.583963538743172</v>
      </c>
    </row>
    <row r="29" customFormat="false" ht="15" hidden="false" customHeight="false" outlineLevel="0" collapsed="false">
      <c r="A29" s="2" t="s">
        <v>65</v>
      </c>
      <c r="B29" s="3" t="n">
        <v>13</v>
      </c>
      <c r="C29" s="4" t="n">
        <v>0</v>
      </c>
      <c r="D29" s="5" t="n">
        <v>68044.4642508211</v>
      </c>
      <c r="E29" s="6" t="n">
        <v>0.778816244181642</v>
      </c>
      <c r="F29" s="6" t="n">
        <v>5.40962908397593</v>
      </c>
      <c r="G29" s="7" t="n">
        <f aca="false">(F29/58.6934)/(D29/40.078)*1000000</f>
        <v>54.2864524703425</v>
      </c>
      <c r="H29" s="7" t="n">
        <f aca="false">(E29/58.9332)/(D29/40.078)*1000000</f>
        <v>7.78373819014792</v>
      </c>
      <c r="I29" s="8" t="n">
        <v>1159.91299150752</v>
      </c>
      <c r="J29" s="8" t="n">
        <v>7781.76930484621</v>
      </c>
      <c r="K29" s="8" t="n">
        <v>33465.2684167837</v>
      </c>
      <c r="L29" s="8" t="n">
        <v>1826.06677475907</v>
      </c>
      <c r="M29" s="8" t="n">
        <v>12.1571616521029</v>
      </c>
      <c r="N29" s="8" t="n">
        <v>866.987018995687</v>
      </c>
      <c r="O29" s="8" t="n">
        <v>34.3901700915926</v>
      </c>
      <c r="P29" s="8" t="n">
        <v>0.38343740965677</v>
      </c>
      <c r="Q29" s="8" t="n">
        <v>4.31098980356973</v>
      </c>
      <c r="R29" s="8" t="n">
        <v>0.796417373221922</v>
      </c>
      <c r="S29" s="8" t="n">
        <v>1415.61628558851</v>
      </c>
      <c r="T29" s="8" t="n">
        <v>0.864873609480383</v>
      </c>
      <c r="U29" s="8" t="n">
        <v>20.9604014721608</v>
      </c>
      <c r="V29" s="8" t="n">
        <v>0.883381693786385</v>
      </c>
      <c r="W29" s="8" t="n">
        <v>0.606092107557065</v>
      </c>
      <c r="X29" s="8" t="n">
        <v>79.8303280264354</v>
      </c>
      <c r="Y29" s="8" t="n">
        <v>0.420248945994172</v>
      </c>
      <c r="Z29" s="8" t="n">
        <v>0.00071144648540495</v>
      </c>
      <c r="AA29" s="8" t="n">
        <v>0.00667943887540557</v>
      </c>
      <c r="AB29" s="8" t="n">
        <v>0.0689034417025115</v>
      </c>
      <c r="AC29" s="8" t="n">
        <v>0.060253883669178</v>
      </c>
      <c r="AD29" s="8" t="n">
        <v>0.318144189089828</v>
      </c>
      <c r="AE29" s="8" t="n">
        <v>179.134399525575</v>
      </c>
      <c r="AF29" s="8" t="n">
        <v>0.484285038316858</v>
      </c>
      <c r="AG29" s="8" t="n">
        <v>1.16323719741292</v>
      </c>
      <c r="AH29" s="8" t="n">
        <v>0.120527368240811</v>
      </c>
      <c r="AI29" s="8" t="n">
        <v>-0.00027851130308387</v>
      </c>
      <c r="AJ29" s="8" t="n">
        <v>0.41759835117235</v>
      </c>
      <c r="AK29" s="8" t="n">
        <v>0.125374227834505</v>
      </c>
      <c r="AL29" s="8" t="n">
        <v>0.63823091142892</v>
      </c>
    </row>
    <row r="30" customFormat="false" ht="15" hidden="false" customHeight="false" outlineLevel="0" collapsed="false">
      <c r="A30" s="2" t="s">
        <v>66</v>
      </c>
      <c r="B30" s="3" t="n">
        <v>13</v>
      </c>
      <c r="C30" s="4" t="n">
        <v>0</v>
      </c>
      <c r="D30" s="5" t="n">
        <v>67295.5755371817</v>
      </c>
      <c r="E30" s="6" t="n">
        <v>0.487619816099394</v>
      </c>
      <c r="F30" s="6" t="n">
        <v>4.94002772091602</v>
      </c>
      <c r="G30" s="7" t="n">
        <f aca="false">(F30/58.6934)/(D30/40.078)*1000000</f>
        <v>50.1256072628469</v>
      </c>
      <c r="H30" s="7" t="n">
        <f aca="false">(E30/58.9332)/(D30/40.078)*1000000</f>
        <v>4.92766133368067</v>
      </c>
      <c r="I30" s="8" t="n">
        <v>953.244365506331</v>
      </c>
      <c r="J30" s="8" t="n">
        <v>7425.62709357292</v>
      </c>
      <c r="K30" s="8" t="n">
        <v>33024.9896767145</v>
      </c>
      <c r="L30" s="8" t="n">
        <v>1704.20943741524</v>
      </c>
      <c r="M30" s="8" t="n">
        <v>16.8282653942963</v>
      </c>
      <c r="N30" s="8" t="n">
        <v>828.354084926258</v>
      </c>
      <c r="O30" s="8" t="n">
        <v>23.4596337601982</v>
      </c>
      <c r="P30" s="8" t="n">
        <v>0.330676516209919</v>
      </c>
      <c r="Q30" s="8" t="n">
        <v>4.28130108099105</v>
      </c>
      <c r="R30" s="8" t="n">
        <v>0.61566777660517</v>
      </c>
      <c r="S30" s="8" t="n">
        <v>1419.84177429358</v>
      </c>
      <c r="T30" s="8" t="n">
        <v>1.00158245251632</v>
      </c>
      <c r="U30" s="8" t="n">
        <v>5.20801605040654</v>
      </c>
      <c r="V30" s="8" t="n">
        <v>0.975695231755971</v>
      </c>
      <c r="W30" s="8" t="n">
        <v>0.537453341666562</v>
      </c>
      <c r="X30" s="8" t="n">
        <v>75.6114094371962</v>
      </c>
      <c r="Y30" s="8" t="n">
        <v>0.365314972422017</v>
      </c>
      <c r="Z30" s="8" t="n">
        <v>-0.0368094184536854</v>
      </c>
      <c r="AA30" s="8" t="n">
        <v>0.00459814224180308</v>
      </c>
      <c r="AB30" s="8" t="n">
        <v>0.128393313635269</v>
      </c>
      <c r="AC30" s="8" t="n">
        <v>0.0547644168721406</v>
      </c>
      <c r="AD30" s="8" t="n">
        <v>0.301775092090055</v>
      </c>
      <c r="AE30" s="8" t="n">
        <v>168.246239804535</v>
      </c>
      <c r="AF30" s="8" t="n">
        <v>0.425970326666379</v>
      </c>
      <c r="AG30" s="8" t="n">
        <v>1.00310749194296</v>
      </c>
      <c r="AH30" s="8" t="n">
        <v>0.110992704997868</v>
      </c>
      <c r="AI30" s="8" t="n">
        <v>-0.000344249859554324</v>
      </c>
      <c r="AJ30" s="8" t="n">
        <v>0.37923253579513</v>
      </c>
      <c r="AK30" s="8" t="n">
        <v>0.128020498487018</v>
      </c>
      <c r="AL30" s="8" t="n">
        <v>0.604039716518298</v>
      </c>
    </row>
    <row r="31" customFormat="false" ht="15" hidden="false" customHeight="false" outlineLevel="0" collapsed="false">
      <c r="A31" s="2" t="s">
        <v>67</v>
      </c>
      <c r="B31" s="3" t="n">
        <v>12</v>
      </c>
      <c r="C31" s="4" t="n">
        <v>0</v>
      </c>
      <c r="D31" s="5" t="n">
        <v>66674.3899554278</v>
      </c>
      <c r="E31" s="6" t="n">
        <v>0.52960285440771</v>
      </c>
      <c r="F31" s="6" t="n">
        <v>5.16032742445699</v>
      </c>
      <c r="G31" s="7" t="n">
        <f aca="false">(F31/58.6934)/(D31/40.078)*1000000</f>
        <v>52.8487817651066</v>
      </c>
      <c r="H31" s="7" t="n">
        <f aca="false">(E31/58.9332)/(D31/40.078)*1000000</f>
        <v>5.40178486813046</v>
      </c>
      <c r="I31" s="8" t="n">
        <v>962.571628549034</v>
      </c>
      <c r="J31" s="8" t="n">
        <v>7424.62886101797</v>
      </c>
      <c r="K31" s="8" t="n">
        <v>33893.1991159238</v>
      </c>
      <c r="L31" s="8" t="n">
        <v>1606.21787576607</v>
      </c>
      <c r="M31" s="8" t="n">
        <v>10.6371777665916</v>
      </c>
      <c r="N31" s="8" t="n">
        <v>936.003337080479</v>
      </c>
      <c r="O31" s="8" t="n">
        <v>32.8825944832458</v>
      </c>
      <c r="P31" s="8" t="n">
        <v>0.398911088742631</v>
      </c>
      <c r="Q31" s="8" t="n">
        <v>4.35242560516399</v>
      </c>
      <c r="R31" s="8" t="n">
        <v>0.757945983685192</v>
      </c>
      <c r="S31" s="8" t="n">
        <v>1383.68651124407</v>
      </c>
      <c r="T31" s="8" t="n">
        <v>1.54982625984579</v>
      </c>
      <c r="U31" s="8" t="n">
        <v>3.41725999667687</v>
      </c>
      <c r="V31" s="8" t="n">
        <v>0.932137210053431</v>
      </c>
      <c r="W31" s="8" t="n">
        <v>0.637831795467979</v>
      </c>
      <c r="X31" s="8" t="n">
        <v>79.2071239580362</v>
      </c>
      <c r="Y31" s="8" t="n">
        <v>0.357391799227182</v>
      </c>
      <c r="Z31" s="8" t="n">
        <v>-0.019505225018661</v>
      </c>
      <c r="AA31" s="8" t="n">
        <v>0.00618295658313096</v>
      </c>
      <c r="AB31" s="8" t="n">
        <v>0.114921907646471</v>
      </c>
      <c r="AC31" s="8" t="n">
        <v>0.0536984047043784</v>
      </c>
      <c r="AD31" s="8" t="n">
        <v>0.300279418071748</v>
      </c>
      <c r="AE31" s="8" t="n">
        <v>178.338060937572</v>
      </c>
      <c r="AF31" s="8" t="n">
        <v>0.418965977745333</v>
      </c>
      <c r="AG31" s="8" t="n">
        <v>0.985705201481837</v>
      </c>
      <c r="AH31" s="8" t="n">
        <v>0.110307568384959</v>
      </c>
      <c r="AI31" s="8" t="n">
        <v>0.00277196177357003</v>
      </c>
      <c r="AJ31" s="8" t="n">
        <v>0.463318363536341</v>
      </c>
      <c r="AK31" s="8" t="n">
        <v>0.0948465633309201</v>
      </c>
      <c r="AL31" s="8" t="n">
        <v>0.645236213056977</v>
      </c>
    </row>
    <row r="32" customFormat="false" ht="15" hidden="false" customHeight="false" outlineLevel="0" collapsed="false">
      <c r="A32" s="2" t="s">
        <v>68</v>
      </c>
      <c r="B32" s="3" t="n">
        <v>10</v>
      </c>
      <c r="C32" s="4" t="n">
        <v>0</v>
      </c>
      <c r="D32" s="5" t="n">
        <v>60241.1229894332</v>
      </c>
      <c r="E32" s="6" t="n">
        <v>0.46245350375419</v>
      </c>
      <c r="F32" s="6" t="n">
        <v>4.42974507709268</v>
      </c>
      <c r="G32" s="7" t="n">
        <f aca="false">(F32/58.6934)/(D32/40.078)*1000000</f>
        <v>50.2114135497367</v>
      </c>
      <c r="H32" s="7" t="n">
        <f aca="false">(E32/58.9332)/(D32/40.078)*1000000</f>
        <v>5.22060737493416</v>
      </c>
      <c r="I32" s="8" t="n">
        <v>1123.0483196399</v>
      </c>
      <c r="J32" s="8" t="n">
        <v>8358.92432376963</v>
      </c>
      <c r="K32" s="8" t="n">
        <v>33216.9797026726</v>
      </c>
      <c r="L32" s="8" t="n">
        <v>1813.56500169066</v>
      </c>
      <c r="M32" s="8" t="n">
        <v>16.1589671484163</v>
      </c>
      <c r="N32" s="8" t="n">
        <v>1126.95093161133</v>
      </c>
      <c r="O32" s="8" t="n">
        <v>34.2006702125038</v>
      </c>
      <c r="P32" s="8" t="n">
        <v>0.397755356151508</v>
      </c>
      <c r="Q32" s="8" t="n">
        <v>4.72016831244541</v>
      </c>
      <c r="R32" s="8" t="n">
        <v>0.878141714463149</v>
      </c>
      <c r="S32" s="8" t="n">
        <v>1174.25388597801</v>
      </c>
      <c r="T32" s="8" t="n">
        <v>1.15000162429216</v>
      </c>
      <c r="U32" s="8" t="n">
        <v>2.9250704534292</v>
      </c>
      <c r="V32" s="8" t="n">
        <v>1.03849691989923</v>
      </c>
      <c r="W32" s="8" t="n">
        <v>0.730406136012161</v>
      </c>
      <c r="X32" s="8" t="n">
        <v>71.0135530804519</v>
      </c>
      <c r="Y32" s="8" t="n">
        <v>0.384585508923646</v>
      </c>
      <c r="Z32" s="8" t="n">
        <v>-0.0151689960409473</v>
      </c>
      <c r="AA32" s="8" t="n">
        <v>0.00478462744957587</v>
      </c>
      <c r="AB32" s="8" t="n">
        <v>0.0870055721773557</v>
      </c>
      <c r="AC32" s="8" t="n">
        <v>0.059238881936646</v>
      </c>
      <c r="AD32" s="8" t="n">
        <v>0.343964535975246</v>
      </c>
      <c r="AE32" s="8" t="n">
        <v>173.560018759492</v>
      </c>
      <c r="AF32" s="8" t="n">
        <v>0.456912804947779</v>
      </c>
      <c r="AG32" s="8" t="n">
        <v>1.10518143664136</v>
      </c>
      <c r="AH32" s="8" t="n">
        <v>0.114597329725183</v>
      </c>
      <c r="AI32" s="8" t="n">
        <v>0.000572979945162638</v>
      </c>
      <c r="AJ32" s="8" t="n">
        <v>0.444280494044986</v>
      </c>
      <c r="AK32" s="8" t="n">
        <v>0.101688903873815</v>
      </c>
      <c r="AL32" s="8" t="n">
        <v>0.599441729794924</v>
      </c>
    </row>
    <row r="33" customFormat="false" ht="15" hidden="false" customHeight="false" outlineLevel="0" collapsed="false">
      <c r="A33" s="2" t="s">
        <v>69</v>
      </c>
      <c r="B33" s="3" t="n">
        <v>28</v>
      </c>
      <c r="C33" s="4" t="n">
        <v>0</v>
      </c>
      <c r="D33" s="5" t="n">
        <v>66607.1046251216</v>
      </c>
      <c r="E33" s="6" t="n">
        <v>0.531574408395056</v>
      </c>
      <c r="F33" s="6" t="n">
        <v>5.66199962173599</v>
      </c>
      <c r="G33" s="7" t="n">
        <f aca="false">(F33/58.6934)/(D33/40.078)*1000000</f>
        <v>58.0451654342773</v>
      </c>
      <c r="H33" s="7" t="n">
        <f aca="false">(E33/58.9332)/(D33/40.078)*1000000</f>
        <v>5.42737120980882</v>
      </c>
      <c r="I33" s="8" t="n">
        <v>1407.11281672051</v>
      </c>
      <c r="J33" s="8" t="n">
        <v>9046.56775024794</v>
      </c>
      <c r="K33" s="8" t="n">
        <v>32485.3707719157</v>
      </c>
      <c r="L33" s="8" t="n">
        <v>2023.91762771252</v>
      </c>
      <c r="M33" s="8" t="n">
        <v>21.1556680677646</v>
      </c>
      <c r="N33" s="8" t="n">
        <v>942.324746722955</v>
      </c>
      <c r="O33" s="8" t="n">
        <v>34.5583138517071</v>
      </c>
      <c r="P33" s="8" t="n">
        <v>0.416958042201252</v>
      </c>
      <c r="Q33" s="8" t="n">
        <v>5.03955521801557</v>
      </c>
      <c r="R33" s="8" t="n">
        <v>1.12007468818368</v>
      </c>
      <c r="S33" s="8" t="n">
        <v>1403.67019895104</v>
      </c>
      <c r="T33" s="8" t="n">
        <v>1.44515412612845</v>
      </c>
      <c r="U33" s="8" t="n">
        <v>3.45962715494229</v>
      </c>
      <c r="V33" s="8" t="n">
        <v>0.987999142354</v>
      </c>
      <c r="W33" s="8" t="n">
        <v>0.684234516841715</v>
      </c>
      <c r="X33" s="8" t="n">
        <v>81.0747578847603</v>
      </c>
      <c r="Y33" s="8" t="n">
        <v>0.462094368103843</v>
      </c>
      <c r="Z33" s="8" t="n">
        <v>-0.0165350437386708</v>
      </c>
      <c r="AA33" s="8" t="n">
        <v>0.0077784366558411</v>
      </c>
      <c r="AB33" s="8" t="n">
        <v>0.104141826682148</v>
      </c>
      <c r="AC33" s="8" t="n">
        <v>0.0901888177739053</v>
      </c>
      <c r="AD33" s="8" t="n">
        <v>0.356979782697441</v>
      </c>
      <c r="AE33" s="8" t="n">
        <v>189.815739878275</v>
      </c>
      <c r="AF33" s="8" t="n">
        <v>0.575047712849454</v>
      </c>
      <c r="AG33" s="8" t="n">
        <v>1.30159020334723</v>
      </c>
      <c r="AH33" s="8" t="n">
        <v>0.12272608727122</v>
      </c>
      <c r="AI33" s="8" t="n">
        <v>-0.00113508080847096</v>
      </c>
      <c r="AJ33" s="8" t="n">
        <v>0.543643362231567</v>
      </c>
      <c r="AK33" s="8" t="n">
        <v>0.123613683653204</v>
      </c>
      <c r="AL33" s="8" t="n">
        <v>0.598555140182921</v>
      </c>
    </row>
    <row r="34" customFormat="false" ht="15" hidden="false" customHeight="false" outlineLevel="0" collapsed="false">
      <c r="A34" s="2" t="s">
        <v>70</v>
      </c>
      <c r="B34" s="3" t="n">
        <v>16</v>
      </c>
      <c r="C34" s="4" t="n">
        <v>0</v>
      </c>
      <c r="D34" s="5" t="n">
        <v>68058.3255174582</v>
      </c>
      <c r="E34" s="6" t="n">
        <v>0.525837200620918</v>
      </c>
      <c r="F34" s="6" t="n">
        <v>5.71323061994366</v>
      </c>
      <c r="G34" s="7" t="n">
        <f aca="false">(F34/58.6934)/(D34/40.078)*1000000</f>
        <v>57.3214632677219</v>
      </c>
      <c r="H34" s="7" t="n">
        <f aca="false">(E34/58.9332)/(D34/40.078)*1000000</f>
        <v>5.25431451149991</v>
      </c>
      <c r="I34" s="8" t="n">
        <v>1152.54819917499</v>
      </c>
      <c r="J34" s="8" t="n">
        <v>8446.86098261692</v>
      </c>
      <c r="K34" s="8" t="n">
        <v>32874.6045047578</v>
      </c>
      <c r="L34" s="8" t="n">
        <v>1915.15778799059</v>
      </c>
      <c r="M34" s="8" t="n">
        <v>19.9455276496958</v>
      </c>
      <c r="N34" s="8" t="n">
        <v>1070.69742636265</v>
      </c>
      <c r="O34" s="8" t="n">
        <v>33.0808467627028</v>
      </c>
      <c r="P34" s="8" t="n">
        <v>0.409047681587946</v>
      </c>
      <c r="Q34" s="8" t="n">
        <v>4.94228388603555</v>
      </c>
      <c r="R34" s="8" t="n">
        <v>1.11453736158857</v>
      </c>
      <c r="S34" s="8" t="n">
        <v>1419.14785442544</v>
      </c>
      <c r="T34" s="8" t="n">
        <v>1.55901093112657</v>
      </c>
      <c r="U34" s="8" t="n">
        <v>5.74423861458909</v>
      </c>
      <c r="V34" s="8" t="n">
        <v>1.15077423537472</v>
      </c>
      <c r="W34" s="8" t="n">
        <v>0.78868105250851</v>
      </c>
      <c r="X34" s="8" t="n">
        <v>82.0337721050962</v>
      </c>
      <c r="Y34" s="8" t="n">
        <v>0.441306175668548</v>
      </c>
      <c r="Z34" s="8" t="n">
        <v>-0.0177734201495498</v>
      </c>
      <c r="AA34" s="8" t="n">
        <v>0.00461635519868676</v>
      </c>
      <c r="AB34" s="8" t="n">
        <v>0.103067464047257</v>
      </c>
      <c r="AC34" s="8" t="n">
        <v>0.0803502181618933</v>
      </c>
      <c r="AD34" s="8" t="n">
        <v>0.325157358663814</v>
      </c>
      <c r="AE34" s="8" t="n">
        <v>197.838392167978</v>
      </c>
      <c r="AF34" s="8" t="n">
        <v>0.499966609019192</v>
      </c>
      <c r="AG34" s="8" t="n">
        <v>1.19654322969391</v>
      </c>
      <c r="AH34" s="8" t="n">
        <v>0.0916927719875631</v>
      </c>
      <c r="AI34" s="8" t="n">
        <v>-0.000917990890115086</v>
      </c>
      <c r="AJ34" s="8" t="n">
        <v>0.466466274396712</v>
      </c>
      <c r="AK34" s="8" t="n">
        <v>0.0995690008799313</v>
      </c>
      <c r="AL34" s="8" t="n">
        <v>0.625214212345318</v>
      </c>
    </row>
    <row r="35" customFormat="false" ht="15" hidden="false" customHeight="false" outlineLevel="0" collapsed="false">
      <c r="A35" s="2" t="s">
        <v>71</v>
      </c>
      <c r="B35" s="3" t="n">
        <v>18</v>
      </c>
      <c r="C35" s="4" t="n">
        <v>0</v>
      </c>
      <c r="D35" s="5" t="n">
        <v>67725.4428300106</v>
      </c>
      <c r="E35" s="6" t="n">
        <v>0.520455982804917</v>
      </c>
      <c r="F35" s="6" t="n">
        <v>5.14984514159018</v>
      </c>
      <c r="G35" s="7" t="n">
        <f aca="false">(F35/58.6934)/(D35/40.078)*1000000</f>
        <v>51.9229177550405</v>
      </c>
      <c r="H35" s="7" t="n">
        <f aca="false">(E35/58.9332)/(D35/40.078)*1000000</f>
        <v>5.22610546115201</v>
      </c>
      <c r="I35" s="8" t="n">
        <v>965.81454877427</v>
      </c>
      <c r="J35" s="8" t="n">
        <v>7806.63417658401</v>
      </c>
      <c r="K35" s="8" t="n">
        <v>33066.3249653961</v>
      </c>
      <c r="L35" s="8" t="n">
        <v>1729.1090904437</v>
      </c>
      <c r="M35" s="8" t="n">
        <v>20.5810473577642</v>
      </c>
      <c r="N35" s="8" t="n">
        <v>915.628308982726</v>
      </c>
      <c r="O35" s="8" t="n">
        <v>23.3006998208532</v>
      </c>
      <c r="P35" s="8" t="n">
        <v>0.379229329772496</v>
      </c>
      <c r="Q35" s="8" t="n">
        <v>5.07581677279775</v>
      </c>
      <c r="R35" s="8" t="n">
        <v>0.61723814009993</v>
      </c>
      <c r="S35" s="8" t="n">
        <v>1420.43113872168</v>
      </c>
      <c r="T35" s="8" t="n">
        <v>1.08370438937144</v>
      </c>
      <c r="U35" s="8" t="n">
        <v>2.0509718322145</v>
      </c>
      <c r="V35" s="8" t="n">
        <v>0.948667094130004</v>
      </c>
      <c r="W35" s="8" t="n">
        <v>0.617673554256985</v>
      </c>
      <c r="X35" s="8" t="n">
        <v>79.9103591290786</v>
      </c>
      <c r="Y35" s="8" t="n">
        <v>0.379641296818191</v>
      </c>
      <c r="Z35" s="8" t="n">
        <v>-0.00163919638597394</v>
      </c>
      <c r="AA35" s="8" t="n">
        <v>0.00586519134883825</v>
      </c>
      <c r="AB35" s="8" t="n">
        <v>0.0680814555761083</v>
      </c>
      <c r="AC35" s="8" t="n">
        <v>0.0599646068153946</v>
      </c>
      <c r="AD35" s="8" t="n">
        <v>0.314933758487966</v>
      </c>
      <c r="AE35" s="8" t="n">
        <v>185.038570025847</v>
      </c>
      <c r="AF35" s="8" t="n">
        <v>0.456174588993784</v>
      </c>
      <c r="AG35" s="8" t="n">
        <v>1.1072843751927</v>
      </c>
      <c r="AH35" s="8" t="n">
        <v>0.149995107652879</v>
      </c>
      <c r="AI35" s="8" t="n">
        <v>-0.00160665609133192</v>
      </c>
      <c r="AJ35" s="8" t="n">
        <v>0.355990298707469</v>
      </c>
      <c r="AK35" s="8" t="n">
        <v>0.131137214989104</v>
      </c>
      <c r="AL35" s="8" t="n">
        <v>0.610207956653783</v>
      </c>
    </row>
    <row r="36" customFormat="false" ht="15" hidden="false" customHeight="false" outlineLevel="0" collapsed="false">
      <c r="A36" s="2" t="s">
        <v>72</v>
      </c>
      <c r="B36" s="3" t="n">
        <v>12</v>
      </c>
      <c r="C36" s="4" t="n">
        <v>0</v>
      </c>
      <c r="D36" s="5" t="n">
        <v>64032.7675506435</v>
      </c>
      <c r="E36" s="6" t="n">
        <v>0.523269423838937</v>
      </c>
      <c r="F36" s="6" t="n">
        <v>4.62134863922196</v>
      </c>
      <c r="G36" s="7" t="n">
        <f aca="false">(F36/58.6934)/(D36/40.078)*1000000</f>
        <v>49.2814222967157</v>
      </c>
      <c r="H36" s="7" t="n">
        <f aca="false">(E36/58.9332)/(D36/40.078)*1000000</f>
        <v>5.55736732313759</v>
      </c>
      <c r="I36" s="8" t="n">
        <v>1167.91674019693</v>
      </c>
      <c r="J36" s="8" t="n">
        <v>8725.80148998916</v>
      </c>
      <c r="K36" s="8" t="n">
        <v>33272.669351902</v>
      </c>
      <c r="L36" s="8" t="n">
        <v>1908.83366998077</v>
      </c>
      <c r="M36" s="8" t="n">
        <v>19.8430913846997</v>
      </c>
      <c r="N36" s="8" t="n">
        <v>981.088278482254</v>
      </c>
      <c r="O36" s="8" t="n">
        <v>32.3279639443621</v>
      </c>
      <c r="P36" s="8" t="n">
        <v>0.381241662039711</v>
      </c>
      <c r="Q36" s="8" t="n">
        <v>4.95740957084808</v>
      </c>
      <c r="R36" s="8" t="n">
        <v>0.816544145342595</v>
      </c>
      <c r="S36" s="8" t="n">
        <v>1308.22137805223</v>
      </c>
      <c r="T36" s="8" t="n">
        <v>1.63673884545085</v>
      </c>
      <c r="U36" s="8" t="n">
        <v>8.92856652901535</v>
      </c>
      <c r="V36" s="8" t="n">
        <v>1.03328287812947</v>
      </c>
      <c r="W36" s="8" t="n">
        <v>0.662677997638717</v>
      </c>
      <c r="X36" s="8" t="n">
        <v>78.6529357735686</v>
      </c>
      <c r="Y36" s="8" t="n">
        <v>0.402598244598705</v>
      </c>
      <c r="Z36" s="8" t="n">
        <v>-0.0210456656037597</v>
      </c>
      <c r="AA36" s="8" t="n">
        <v>0.00523073258284113</v>
      </c>
      <c r="AB36" s="8" t="n">
        <v>0.0887953390068813</v>
      </c>
      <c r="AC36" s="8" t="n">
        <v>0.0643856228067151</v>
      </c>
      <c r="AD36" s="8" t="n">
        <v>0.361104729418707</v>
      </c>
      <c r="AE36" s="8" t="n">
        <v>177.69786398335</v>
      </c>
      <c r="AF36" s="8" t="n">
        <v>0.476344801908551</v>
      </c>
      <c r="AG36" s="8" t="n">
        <v>1.18067741264015</v>
      </c>
      <c r="AH36" s="8" t="n">
        <v>0.135914094725742</v>
      </c>
      <c r="AI36" s="8" t="n">
        <v>-0.00184758814214731</v>
      </c>
      <c r="AJ36" s="8" t="n">
        <v>0.567837889663926</v>
      </c>
      <c r="AK36" s="8" t="n">
        <v>0.106095030909706</v>
      </c>
      <c r="AL36" s="8" t="n">
        <v>0.573971804764541</v>
      </c>
    </row>
    <row r="37" customFormat="false" ht="15" hidden="false" customHeight="false" outlineLevel="0" collapsed="false">
      <c r="A37" s="2" t="s">
        <v>73</v>
      </c>
      <c r="B37" s="3" t="n">
        <v>18</v>
      </c>
      <c r="C37" s="4" t="n">
        <v>0</v>
      </c>
      <c r="D37" s="5" t="n">
        <v>65194.677766267</v>
      </c>
      <c r="E37" s="6" t="n">
        <v>0.501163850384193</v>
      </c>
      <c r="F37" s="6" t="n">
        <v>4.8046508560194</v>
      </c>
      <c r="G37" s="7" t="n">
        <f aca="false">(F37/58.6934)/(D37/40.078)*1000000</f>
        <v>50.3229930430664</v>
      </c>
      <c r="H37" s="7" t="n">
        <f aca="false">(E37/58.9332)/(D37/40.078)*1000000</f>
        <v>5.22773556672768</v>
      </c>
      <c r="I37" s="8" t="n">
        <v>825.552331257023</v>
      </c>
      <c r="J37" s="8" t="n">
        <v>7343.82650985903</v>
      </c>
      <c r="K37" s="8" t="n">
        <v>33481.5274949996</v>
      </c>
      <c r="L37" s="8" t="n">
        <v>1598.5311032298</v>
      </c>
      <c r="M37" s="8" t="n">
        <v>5.78749838924739</v>
      </c>
      <c r="N37" s="8" t="n">
        <v>964.613523245176</v>
      </c>
      <c r="O37" s="8" t="n">
        <v>27.7495021099391</v>
      </c>
      <c r="P37" s="8" t="n">
        <v>0.308577114873107</v>
      </c>
      <c r="Q37" s="8" t="n">
        <v>4.13687878085822</v>
      </c>
      <c r="R37" s="8" t="n">
        <v>0.598268802666766</v>
      </c>
      <c r="S37" s="8" t="n">
        <v>1227.53792564778</v>
      </c>
      <c r="T37" s="8" t="n">
        <v>1.32732210388138</v>
      </c>
      <c r="U37" s="8" t="n">
        <v>2.4646570144004</v>
      </c>
      <c r="V37" s="8" t="n">
        <v>0.882508614011767</v>
      </c>
      <c r="W37" s="8" t="n">
        <v>0.603854793879947</v>
      </c>
      <c r="X37" s="8" t="n">
        <v>77.8575967482745</v>
      </c>
      <c r="Y37" s="8" t="n">
        <v>0.339244379664179</v>
      </c>
      <c r="Z37" s="8" t="n">
        <v>-0.0267422597973306</v>
      </c>
      <c r="AA37" s="8" t="n">
        <v>0.00317926719479166</v>
      </c>
      <c r="AB37" s="8" t="n">
        <v>0.129260844302961</v>
      </c>
      <c r="AC37" s="8" t="n">
        <v>0.0526398234833382</v>
      </c>
      <c r="AD37" s="8" t="n">
        <v>0.289616385492359</v>
      </c>
      <c r="AE37" s="8" t="n">
        <v>175.039132804396</v>
      </c>
      <c r="AF37" s="8" t="n">
        <v>0.402031638227258</v>
      </c>
      <c r="AG37" s="8" t="n">
        <v>0.936813928770239</v>
      </c>
      <c r="AH37" s="8" t="n">
        <v>0.0708506743734823</v>
      </c>
      <c r="AI37" s="8" t="n">
        <v>-0.00164102429204357</v>
      </c>
      <c r="AJ37" s="8" t="n">
        <v>0.38762814085401</v>
      </c>
      <c r="AK37" s="8" t="n">
        <v>0.0728042937800402</v>
      </c>
      <c r="AL37" s="8" t="n">
        <v>0.602260686679517</v>
      </c>
    </row>
    <row r="38" customFormat="false" ht="15" hidden="false" customHeight="false" outlineLevel="0" collapsed="false">
      <c r="A38" s="2" t="s">
        <v>74</v>
      </c>
      <c r="B38" s="3" t="n">
        <v>16</v>
      </c>
      <c r="C38" s="4" t="n">
        <v>0</v>
      </c>
      <c r="D38" s="5" t="n">
        <v>65443.0531230792</v>
      </c>
      <c r="E38" s="6" t="n">
        <v>0.506019365494372</v>
      </c>
      <c r="F38" s="6" t="n">
        <v>10.1192520897308</v>
      </c>
      <c r="G38" s="7" t="n">
        <f aca="false">(F38/58.6934)/(D38/40.078)*1000000</f>
        <v>105.584856893421</v>
      </c>
      <c r="H38" s="7" t="n">
        <f aca="false">(E38/58.9332)/(D38/40.078)*1000000</f>
        <v>5.25835137079655</v>
      </c>
      <c r="I38" s="8" t="n">
        <v>875.244105399345</v>
      </c>
      <c r="J38" s="8" t="n">
        <v>7385.74763342103</v>
      </c>
      <c r="K38" s="8" t="n">
        <v>32280.8809523909</v>
      </c>
      <c r="L38" s="8" t="n">
        <v>1589.7712280907</v>
      </c>
      <c r="M38" s="8" t="n">
        <v>19.4022821495744</v>
      </c>
      <c r="N38" s="8" t="n">
        <v>820.487704803601</v>
      </c>
      <c r="O38" s="8" t="n">
        <v>22.1458116429159</v>
      </c>
      <c r="P38" s="8" t="n">
        <v>0.352674103118348</v>
      </c>
      <c r="Q38" s="8" t="n">
        <v>4.42130734455936</v>
      </c>
      <c r="R38" s="8" t="n">
        <v>0.726891146033072</v>
      </c>
      <c r="S38" s="8" t="n">
        <v>1380.36023540472</v>
      </c>
      <c r="T38" s="8" t="n">
        <v>0.933539167780376</v>
      </c>
      <c r="U38" s="8" t="n">
        <v>2.06992511137446</v>
      </c>
      <c r="V38" s="8" t="n">
        <v>1.03671474864718</v>
      </c>
      <c r="W38" s="8" t="n">
        <v>0.535296664407573</v>
      </c>
      <c r="X38" s="8" t="n">
        <v>76.5198558712824</v>
      </c>
      <c r="Y38" s="8" t="n">
        <v>0.352881344938594</v>
      </c>
      <c r="Z38" s="8" t="n">
        <v>-0.0167108214666503</v>
      </c>
      <c r="AA38" s="8" t="n">
        <v>0.00760591308947234</v>
      </c>
      <c r="AB38" s="8" t="n">
        <v>0.1083210484771</v>
      </c>
      <c r="AC38" s="8" t="n">
        <v>0.058557217026303</v>
      </c>
      <c r="AD38" s="8" t="n">
        <v>0.303559115951071</v>
      </c>
      <c r="AE38" s="8" t="n">
        <v>171.688553578261</v>
      </c>
      <c r="AF38" s="8" t="n">
        <v>0.424430388031435</v>
      </c>
      <c r="AG38" s="8" t="n">
        <v>0.982813451304957</v>
      </c>
      <c r="AH38" s="8" t="n">
        <v>0.160001644396451</v>
      </c>
      <c r="AI38" s="8" t="n">
        <v>-0.00149769210265051</v>
      </c>
      <c r="AJ38" s="8" t="n">
        <v>0.408049152942276</v>
      </c>
      <c r="AK38" s="8" t="n">
        <v>0.128135696178164</v>
      </c>
      <c r="AL38" s="8" t="n">
        <v>0.591245386808585</v>
      </c>
    </row>
    <row r="39" customFormat="false" ht="15" hidden="false" customHeight="false" outlineLevel="0" collapsed="false">
      <c r="A39" s="2" t="s">
        <v>75</v>
      </c>
      <c r="B39" s="3" t="n">
        <v>15</v>
      </c>
      <c r="C39" s="4" t="n">
        <v>0</v>
      </c>
      <c r="D39" s="5" t="n">
        <v>63845.879017864</v>
      </c>
      <c r="E39" s="6" t="n">
        <v>0.498246654155249</v>
      </c>
      <c r="F39" s="6" t="n">
        <v>4.8784909568547</v>
      </c>
      <c r="G39" s="7" t="n">
        <f aca="false">(F39/58.6934)/(D39/40.078)*1000000</f>
        <v>52.1758348100435</v>
      </c>
      <c r="H39" s="7" t="n">
        <f aca="false">(E39/58.9332)/(D39/40.078)*1000000</f>
        <v>5.30710326192567</v>
      </c>
      <c r="I39" s="8" t="n">
        <v>899.168405703754</v>
      </c>
      <c r="J39" s="8" t="n">
        <v>7487.24426976715</v>
      </c>
      <c r="K39" s="8" t="n">
        <v>33090.2623148327</v>
      </c>
      <c r="L39" s="8" t="n">
        <v>1639.91462931502</v>
      </c>
      <c r="M39" s="8" t="n">
        <v>15.0814730976621</v>
      </c>
      <c r="N39" s="8" t="n">
        <v>898.91278911692</v>
      </c>
      <c r="O39" s="8" t="n">
        <v>29.7476520418882</v>
      </c>
      <c r="P39" s="8" t="n">
        <v>0.340268682256961</v>
      </c>
      <c r="Q39" s="8" t="n">
        <v>4.4811938231644</v>
      </c>
      <c r="R39" s="8" t="n">
        <v>0.580889295597501</v>
      </c>
      <c r="S39" s="8" t="n">
        <v>1276.78160982282</v>
      </c>
      <c r="T39" s="8" t="n">
        <v>1.24763910687641</v>
      </c>
      <c r="U39" s="8" t="n">
        <v>1.80070849607684</v>
      </c>
      <c r="V39" s="8" t="n">
        <v>0.914510994643812</v>
      </c>
      <c r="W39" s="8" t="n">
        <v>0.587409166433703</v>
      </c>
      <c r="X39" s="8" t="n">
        <v>76.0563289889558</v>
      </c>
      <c r="Y39" s="8" t="n">
        <v>0.355717426685674</v>
      </c>
      <c r="Z39" s="8" t="n">
        <v>-0.0265721979418345</v>
      </c>
      <c r="AA39" s="8" t="n">
        <v>0.00303590321618331</v>
      </c>
      <c r="AB39" s="8" t="n">
        <v>0.122657552767706</v>
      </c>
      <c r="AC39" s="8" t="n">
        <v>0.059984894145348</v>
      </c>
      <c r="AD39" s="8" t="n">
        <v>0.296511218008109</v>
      </c>
      <c r="AE39" s="8" t="n">
        <v>171.408221321438</v>
      </c>
      <c r="AF39" s="8" t="n">
        <v>0.431464602370943</v>
      </c>
      <c r="AG39" s="8" t="n">
        <v>0.977304316091239</v>
      </c>
      <c r="AH39" s="8" t="n">
        <v>0.106043725568289</v>
      </c>
      <c r="AI39" s="8" t="n">
        <v>-0.00186176687103595</v>
      </c>
      <c r="AJ39" s="8" t="n">
        <v>0.339700634697256</v>
      </c>
      <c r="AK39" s="8" t="n">
        <v>0.0916958672473645</v>
      </c>
      <c r="AL39" s="8" t="n">
        <v>0.608238643721258</v>
      </c>
    </row>
    <row r="40" customFormat="false" ht="15" hidden="false" customHeight="false" outlineLevel="0" collapsed="false">
      <c r="A40" s="2" t="s">
        <v>76</v>
      </c>
      <c r="B40" s="3" t="n">
        <v>12</v>
      </c>
      <c r="C40" s="4" t="n">
        <v>0</v>
      </c>
      <c r="D40" s="5" t="n">
        <v>56871.7534340499</v>
      </c>
      <c r="E40" s="6" t="n">
        <v>0.458528219037782</v>
      </c>
      <c r="F40" s="6" t="n">
        <v>4.6340606632898</v>
      </c>
      <c r="G40" s="7" t="n">
        <f aca="false">(F40/58.6934)/(D40/40.078)*1000000</f>
        <v>55.6393271237164</v>
      </c>
      <c r="H40" s="7" t="n">
        <f aca="false">(E40/58.9332)/(D40/40.078)*1000000</f>
        <v>5.4829649247515</v>
      </c>
      <c r="I40" s="8" t="n">
        <v>862.715232203258</v>
      </c>
      <c r="J40" s="8" t="n">
        <v>7097.68587067626</v>
      </c>
      <c r="K40" s="8" t="n">
        <v>32248.603359851</v>
      </c>
      <c r="L40" s="8" t="n">
        <v>1575.70362282422</v>
      </c>
      <c r="M40" s="8" t="n">
        <v>15.9319894333533</v>
      </c>
      <c r="N40" s="8" t="n">
        <v>927.861731147249</v>
      </c>
      <c r="O40" s="8" t="n">
        <v>28.1949953206118</v>
      </c>
      <c r="P40" s="8" t="n">
        <v>0.322663493421151</v>
      </c>
      <c r="Q40" s="8" t="n">
        <v>4.16841191128222</v>
      </c>
      <c r="R40" s="8" t="n">
        <v>0.818578817365488</v>
      </c>
      <c r="S40" s="8" t="n">
        <v>1105.68379064385</v>
      </c>
      <c r="T40" s="8" t="n">
        <v>1.6109876989174</v>
      </c>
      <c r="U40" s="8" t="n">
        <v>5.83093636902765</v>
      </c>
      <c r="V40" s="8" t="n">
        <v>0.923414629893889</v>
      </c>
      <c r="W40" s="8" t="n">
        <v>0.6026169581634</v>
      </c>
      <c r="X40" s="8" t="n">
        <v>74.8910817910685</v>
      </c>
      <c r="Y40" s="8" t="n">
        <v>0.328774370194595</v>
      </c>
      <c r="Z40" s="8" t="n">
        <v>-0.0235205991898576</v>
      </c>
      <c r="AA40" s="8" t="n">
        <v>0.00352092045713964</v>
      </c>
      <c r="AB40" s="8" t="n">
        <v>0.121227733075316</v>
      </c>
      <c r="AC40" s="8" t="n">
        <v>0.05797560642429</v>
      </c>
      <c r="AD40" s="8" t="n">
        <v>0.29459135593681</v>
      </c>
      <c r="AE40" s="8" t="n">
        <v>168.057208134175</v>
      </c>
      <c r="AF40" s="8" t="n">
        <v>0.400898112439581</v>
      </c>
      <c r="AG40" s="8" t="n">
        <v>0.95162834208146</v>
      </c>
      <c r="AH40" s="8" t="n">
        <v>0.133579173533993</v>
      </c>
      <c r="AI40" s="8" t="n">
        <v>-0.00161884036852489</v>
      </c>
      <c r="AJ40" s="8" t="n">
        <v>0.50040641475957</v>
      </c>
      <c r="AK40" s="8" t="n">
        <v>0.0880797377890732</v>
      </c>
      <c r="AL40" s="8" t="n">
        <v>0.594809243203258</v>
      </c>
    </row>
    <row r="41" customFormat="false" ht="15" hidden="false" customHeight="false" outlineLevel="0" collapsed="false">
      <c r="A41" s="2" t="s">
        <v>77</v>
      </c>
      <c r="B41" s="3" t="n">
        <v>13</v>
      </c>
      <c r="C41" s="4" t="n">
        <v>0</v>
      </c>
      <c r="D41" s="5" t="n">
        <v>65249.8142701086</v>
      </c>
      <c r="E41" s="6" t="n">
        <v>0.487281664108444</v>
      </c>
      <c r="F41" s="6" t="n">
        <v>4.59041870839299</v>
      </c>
      <c r="G41" s="7" t="n">
        <f aca="false">(F41/58.6934)/(D41/40.078)*1000000</f>
        <v>48.038539352842</v>
      </c>
      <c r="H41" s="7" t="n">
        <f aca="false">(E41/58.9332)/(D41/40.078)*1000000</f>
        <v>5.07863273189111</v>
      </c>
      <c r="I41" s="8" t="n">
        <v>684.858369667986</v>
      </c>
      <c r="J41" s="8" t="n">
        <v>6251.95401713609</v>
      </c>
      <c r="K41" s="8" t="n">
        <v>31756.4854399336</v>
      </c>
      <c r="L41" s="8" t="n">
        <v>1235.10251904985</v>
      </c>
      <c r="M41" s="8" t="n">
        <v>19.9605016417031</v>
      </c>
      <c r="N41" s="8" t="n">
        <v>789.224732254178</v>
      </c>
      <c r="O41" s="8" t="n">
        <v>18.7822967250001</v>
      </c>
      <c r="P41" s="8" t="n">
        <v>0.276465086954778</v>
      </c>
      <c r="Q41" s="8" t="n">
        <v>3.97342247325639</v>
      </c>
      <c r="R41" s="8" t="n">
        <v>0.338634922846762</v>
      </c>
      <c r="S41" s="8" t="n">
        <v>1361.33119568466</v>
      </c>
      <c r="T41" s="8" t="n">
        <v>0.808660730416895</v>
      </c>
      <c r="U41" s="8" t="n">
        <v>1.58289932105865</v>
      </c>
      <c r="V41" s="8" t="n">
        <v>0.923628605647286</v>
      </c>
      <c r="W41" s="8" t="n">
        <v>0.434968734363551</v>
      </c>
      <c r="X41" s="8" t="n">
        <v>73.9408531378633</v>
      </c>
      <c r="Y41" s="8" t="n">
        <v>0.258126118556118</v>
      </c>
      <c r="Z41" s="8" t="n">
        <v>-0.0181491260235188</v>
      </c>
      <c r="AA41" s="8" t="n">
        <v>0.00304719721745754</v>
      </c>
      <c r="AB41" s="8" t="n">
        <v>0.0515472490336469</v>
      </c>
      <c r="AC41" s="8" t="n">
        <v>0.0407752755572596</v>
      </c>
      <c r="AD41" s="8" t="n">
        <v>0.262074456621328</v>
      </c>
      <c r="AE41" s="8" t="n">
        <v>164.474901414445</v>
      </c>
      <c r="AF41" s="8" t="n">
        <v>0.311268378905395</v>
      </c>
      <c r="AG41" s="8" t="n">
        <v>0.75709383813206</v>
      </c>
      <c r="AH41" s="8" t="n">
        <v>0.163842887440225</v>
      </c>
      <c r="AI41" s="8" t="n">
        <v>-0.00172558598605778</v>
      </c>
      <c r="AJ41" s="8" t="n">
        <v>0.2546847752897</v>
      </c>
      <c r="AK41" s="8" t="n">
        <v>0.0938056189897054</v>
      </c>
      <c r="AL41" s="8" t="n">
        <v>0.581886885033204</v>
      </c>
    </row>
    <row r="42" customFormat="false" ht="15" hidden="false" customHeight="false" outlineLevel="0" collapsed="false">
      <c r="A42" s="2" t="s">
        <v>78</v>
      </c>
      <c r="B42" s="3" t="n">
        <v>11</v>
      </c>
      <c r="C42" s="4" t="n">
        <v>0</v>
      </c>
      <c r="D42" s="5" t="n">
        <v>66415.1627826805</v>
      </c>
      <c r="E42" s="6" t="n">
        <v>0.495474223023199</v>
      </c>
      <c r="F42" s="6" t="n">
        <v>4.66897058070295</v>
      </c>
      <c r="G42" s="7" t="n">
        <f aca="false">(F42/58.6934)/(D42/40.078)*1000000</f>
        <v>48.0032529943645</v>
      </c>
      <c r="H42" s="7" t="n">
        <f aca="false">(E42/58.9332)/(D42/40.078)*1000000</f>
        <v>5.07340860778458</v>
      </c>
      <c r="I42" s="8" t="n">
        <v>858.56129790113</v>
      </c>
      <c r="J42" s="8" t="n">
        <v>7208.13446199009</v>
      </c>
      <c r="K42" s="8" t="n">
        <v>32415.5426837003</v>
      </c>
      <c r="L42" s="8" t="n">
        <v>1575.83816148124</v>
      </c>
      <c r="M42" s="8" t="n">
        <v>23.0420524976412</v>
      </c>
      <c r="N42" s="8" t="n">
        <v>850.527103605334</v>
      </c>
      <c r="O42" s="8" t="n">
        <v>21.2123480913634</v>
      </c>
      <c r="P42" s="8" t="n">
        <v>0.300140566713539</v>
      </c>
      <c r="Q42" s="8" t="n">
        <v>4.46215210192587</v>
      </c>
      <c r="R42" s="8" t="n">
        <v>0.923597640390468</v>
      </c>
      <c r="S42" s="8" t="n">
        <v>1369.62647409453</v>
      </c>
      <c r="T42" s="8" t="n">
        <v>0.945975358365695</v>
      </c>
      <c r="U42" s="8" t="n">
        <v>2.7716797109644</v>
      </c>
      <c r="V42" s="8" t="n">
        <v>0.862788621741</v>
      </c>
      <c r="W42" s="8" t="n">
        <v>0.54048294035638</v>
      </c>
      <c r="X42" s="8" t="n">
        <v>74.6616515957767</v>
      </c>
      <c r="Y42" s="8" t="n">
        <v>0.345741614885362</v>
      </c>
      <c r="Z42" s="8" t="n">
        <v>-0.0211390632751381</v>
      </c>
      <c r="AA42" s="8" t="n">
        <v>0.00893554829806005</v>
      </c>
      <c r="AB42" s="8" t="n">
        <v>0.0606217022973005</v>
      </c>
      <c r="AC42" s="8" t="n">
        <v>0.0422538439442848</v>
      </c>
      <c r="AD42" s="8" t="n">
        <v>0.294197006513429</v>
      </c>
      <c r="AE42" s="8" t="n">
        <v>161.749187374666</v>
      </c>
      <c r="AF42" s="8" t="n">
        <v>0.423567902450193</v>
      </c>
      <c r="AG42" s="8" t="n">
        <v>0.982774864662596</v>
      </c>
      <c r="AH42" s="8" t="n">
        <v>0.133062052728436</v>
      </c>
      <c r="AI42" s="8" t="n">
        <v>-0.0022273245395167</v>
      </c>
      <c r="AJ42" s="8" t="n">
        <v>0.363705684753682</v>
      </c>
      <c r="AK42" s="8" t="n">
        <v>0.106607883564566</v>
      </c>
      <c r="AL42" s="8" t="n">
        <v>0.613613849304813</v>
      </c>
    </row>
    <row r="43" customFormat="false" ht="15" hidden="false" customHeight="false" outlineLevel="0" collapsed="false">
      <c r="A43" s="2" t="s">
        <v>79</v>
      </c>
      <c r="B43" s="3" t="n">
        <v>9</v>
      </c>
      <c r="C43" s="4" t="n">
        <v>0</v>
      </c>
      <c r="D43" s="5" t="n">
        <v>54973.2806485794</v>
      </c>
      <c r="E43" s="6" t="n">
        <v>0.412943030088632</v>
      </c>
      <c r="F43" s="6" t="n">
        <v>4.02967096412963</v>
      </c>
      <c r="G43" s="7" t="n">
        <f aca="false">(F43/58.6934)/(D43/40.078)*1000000</f>
        <v>50.0535291180138</v>
      </c>
      <c r="H43" s="7" t="n">
        <f aca="false">(E43/58.9332)/(D43/40.078)*1000000</f>
        <v>5.10839536961494</v>
      </c>
      <c r="I43" s="8" t="n">
        <v>907.224211476908</v>
      </c>
      <c r="J43" s="8" t="n">
        <v>7603.3986831449</v>
      </c>
      <c r="K43" s="8" t="n">
        <v>32684.9744287629</v>
      </c>
      <c r="L43" s="8" t="n">
        <v>1642.02045966977</v>
      </c>
      <c r="M43" s="8" t="n">
        <v>15.7702012556772</v>
      </c>
      <c r="N43" s="8" t="n">
        <v>948.351616510217</v>
      </c>
      <c r="O43" s="8" t="n">
        <v>29.3390305963541</v>
      </c>
      <c r="P43" s="8" t="n">
        <v>0.334401450417573</v>
      </c>
      <c r="Q43" s="8" t="n">
        <v>4.34886954850375</v>
      </c>
      <c r="R43" s="8" t="n">
        <v>0.630769447259248</v>
      </c>
      <c r="S43" s="8" t="n">
        <v>1055.08099566778</v>
      </c>
      <c r="T43" s="8" t="n">
        <v>1.07151663654612</v>
      </c>
      <c r="U43" s="8" t="n">
        <v>3.0270284873639</v>
      </c>
      <c r="V43" s="8" t="n">
        <v>0.796796228665755</v>
      </c>
      <c r="W43" s="8" t="n">
        <v>0.597885709603863</v>
      </c>
      <c r="X43" s="8" t="n">
        <v>73.8592097659239</v>
      </c>
      <c r="Y43" s="8" t="n">
        <v>0.338312055421433</v>
      </c>
      <c r="Z43" s="8" t="n">
        <v>-0.0190451163417253</v>
      </c>
      <c r="AA43" s="8" t="n">
        <v>0.00538104227111645</v>
      </c>
      <c r="AB43" s="8" t="n">
        <v>0.0784903095402573</v>
      </c>
      <c r="AC43" s="8" t="n">
        <v>0.0506681789864559</v>
      </c>
      <c r="AD43" s="8" t="n">
        <v>0.319304997130338</v>
      </c>
      <c r="AE43" s="8" t="n">
        <v>163.029440163211</v>
      </c>
      <c r="AF43" s="8" t="n">
        <v>0.394697080155219</v>
      </c>
      <c r="AG43" s="8" t="n">
        <v>0.927729815812801</v>
      </c>
      <c r="AH43" s="8" t="n">
        <v>0.113508610402253</v>
      </c>
      <c r="AI43" s="8" t="n">
        <v>-0.000814122400511964</v>
      </c>
      <c r="AJ43" s="8" t="n">
        <v>0.371332441628655</v>
      </c>
      <c r="AK43" s="8" t="n">
        <v>0.0792409041323582</v>
      </c>
      <c r="AL43" s="8" t="n">
        <v>0.60704313563807</v>
      </c>
    </row>
    <row r="44" customFormat="false" ht="15" hidden="false" customHeight="false" outlineLevel="0" collapsed="false">
      <c r="A44" s="2" t="s">
        <v>80</v>
      </c>
      <c r="B44" s="3" t="n">
        <v>11</v>
      </c>
      <c r="C44" s="4" t="n">
        <v>0</v>
      </c>
      <c r="D44" s="5" t="n">
        <v>61852.766819392</v>
      </c>
      <c r="E44" s="6" t="n">
        <v>0.495552644765297</v>
      </c>
      <c r="F44" s="6" t="n">
        <v>4.65630670684624</v>
      </c>
      <c r="G44" s="7" t="n">
        <f aca="false">(F44/58.6934)/(D44/40.078)*1000000</f>
        <v>51.4042729050788</v>
      </c>
      <c r="H44" s="7" t="n">
        <f aca="false">(E44/58.9332)/(D44/40.078)*1000000</f>
        <v>5.44849660281184</v>
      </c>
      <c r="I44" s="8" t="n">
        <v>725.372147969199</v>
      </c>
      <c r="J44" s="8" t="n">
        <v>6583.88812998492</v>
      </c>
      <c r="K44" s="8" t="n">
        <v>32742.8693450941</v>
      </c>
      <c r="L44" s="8" t="n">
        <v>1337.74487112257</v>
      </c>
      <c r="M44" s="8" t="n">
        <v>17.265740850046</v>
      </c>
      <c r="N44" s="8" t="n">
        <v>919.921741120525</v>
      </c>
      <c r="O44" s="8" t="n">
        <v>26.6456224220796</v>
      </c>
      <c r="P44" s="8" t="n">
        <v>0.302718609264992</v>
      </c>
      <c r="Q44" s="8" t="n">
        <v>3.81885913338875</v>
      </c>
      <c r="R44" s="8" t="n">
        <v>0.582203067777494</v>
      </c>
      <c r="S44" s="8" t="n">
        <v>1200.92340726428</v>
      </c>
      <c r="T44" s="8" t="n">
        <v>1.26542969446212</v>
      </c>
      <c r="U44" s="8" t="n">
        <v>3.23544952724058</v>
      </c>
      <c r="V44" s="8" t="n">
        <v>0.743520928362418</v>
      </c>
      <c r="W44" s="8" t="n">
        <v>0.54316458215625</v>
      </c>
      <c r="X44" s="8" t="n">
        <v>76.9043770233962</v>
      </c>
      <c r="Y44" s="8" t="n">
        <v>0.282953576371448</v>
      </c>
      <c r="Z44" s="8" t="n">
        <v>-0.0194417354930372</v>
      </c>
      <c r="AA44" s="8" t="n">
        <v>0.00451469867561184</v>
      </c>
      <c r="AB44" s="8" t="n">
        <v>0.137696069027527</v>
      </c>
      <c r="AC44" s="8" t="n">
        <v>0.0670485825454306</v>
      </c>
      <c r="AD44" s="8" t="n">
        <v>0.275902794551662</v>
      </c>
      <c r="AE44" s="8" t="n">
        <v>171.226993235252</v>
      </c>
      <c r="AF44" s="8" t="n">
        <v>0.333499420304087</v>
      </c>
      <c r="AG44" s="8" t="n">
        <v>0.778472010124165</v>
      </c>
      <c r="AH44" s="8" t="n">
        <v>0.128809862741962</v>
      </c>
      <c r="AI44" s="8" t="n">
        <v>-0.00101351032265561</v>
      </c>
      <c r="AJ44" s="8" t="n">
        <v>0.410804351904522</v>
      </c>
      <c r="AK44" s="8" t="n">
        <v>0.0652275749448653</v>
      </c>
      <c r="AL44" s="8" t="n">
        <v>0.61977333809429</v>
      </c>
    </row>
    <row r="45" customFormat="false" ht="15" hidden="false" customHeight="false" outlineLevel="0" collapsed="false">
      <c r="A45" s="2" t="s">
        <v>81</v>
      </c>
      <c r="B45" s="3" t="n">
        <v>16</v>
      </c>
      <c r="C45" s="4" t="n">
        <v>0</v>
      </c>
      <c r="D45" s="5" t="n">
        <v>69673.8216196192</v>
      </c>
      <c r="E45" s="6" t="n">
        <v>0.442932448808411</v>
      </c>
      <c r="F45" s="6" t="n">
        <v>6.1197518782199</v>
      </c>
      <c r="G45" s="7" t="n">
        <f aca="false">(F45/58.6934)/(D45/40.078)*1000000</f>
        <v>59.9764774076969</v>
      </c>
      <c r="H45" s="7" t="n">
        <f aca="false">(E45/58.9332)/(D45/40.078)*1000000</f>
        <v>4.32328516537086</v>
      </c>
      <c r="I45" s="8" t="n">
        <v>3013.76308437827</v>
      </c>
      <c r="J45" s="8" t="n">
        <v>6328.24331997455</v>
      </c>
      <c r="K45" s="8" t="n">
        <v>34512.5600476951</v>
      </c>
      <c r="L45" s="8" t="n">
        <v>1160.44330431315</v>
      </c>
      <c r="M45" s="8" t="n">
        <v>24.7746023742544</v>
      </c>
      <c r="N45" s="8" t="n">
        <v>1102.68390551125</v>
      </c>
      <c r="O45" s="8" t="n">
        <v>15.1173705535647</v>
      </c>
      <c r="P45" s="8" t="n">
        <v>0.349210362709672</v>
      </c>
      <c r="Q45" s="8" t="n">
        <v>3.73754354664659</v>
      </c>
      <c r="R45" s="8" t="n">
        <v>0.915047776263009</v>
      </c>
      <c r="S45" s="8" t="n">
        <v>1483.18283913762</v>
      </c>
      <c r="T45" s="8" t="n">
        <v>1.25221533326534</v>
      </c>
      <c r="U45" s="8" t="n">
        <v>4.03575097206065</v>
      </c>
      <c r="V45" s="8" t="n">
        <v>0.900693236415375</v>
      </c>
      <c r="W45" s="8" t="n">
        <v>0.644038977651613</v>
      </c>
      <c r="X45" s="8" t="n">
        <v>79.4816788419109</v>
      </c>
      <c r="Y45" s="8" t="n">
        <v>0.249225316275151</v>
      </c>
      <c r="Z45" s="8" t="n">
        <v>-0.0228404254210437</v>
      </c>
      <c r="AA45" s="8" t="n">
        <v>0.0035228638525018</v>
      </c>
      <c r="AB45" s="8" t="n">
        <v>0.0796545044718459</v>
      </c>
      <c r="AC45" s="8" t="n">
        <v>0.0577045054183858</v>
      </c>
      <c r="AD45" s="8" t="n">
        <v>0.247492492964628</v>
      </c>
      <c r="AE45" s="8" t="n">
        <v>196.42771265942</v>
      </c>
      <c r="AF45" s="8" t="n">
        <v>0.289189095566015</v>
      </c>
      <c r="AG45" s="8" t="n">
        <v>0.643096008950126</v>
      </c>
      <c r="AH45" s="8" t="n">
        <v>0.0865873243890665</v>
      </c>
      <c r="AI45" s="8" t="n">
        <v>0.000170715145446271</v>
      </c>
      <c r="AJ45" s="8" t="n">
        <v>0.354609708046147</v>
      </c>
      <c r="AK45" s="8" t="n">
        <v>0.0670397685294604</v>
      </c>
      <c r="AL45" s="8" t="n">
        <v>0.58911368103688</v>
      </c>
    </row>
    <row r="46" customFormat="false" ht="15" hidden="false" customHeight="false" outlineLevel="0" collapsed="false">
      <c r="A46" s="2" t="s">
        <v>82</v>
      </c>
      <c r="B46" s="3" t="n">
        <v>14</v>
      </c>
      <c r="C46" s="4" t="n">
        <v>0</v>
      </c>
      <c r="D46" s="5" t="n">
        <v>69729.362309746</v>
      </c>
      <c r="E46" s="6" t="n">
        <v>0.442365624615402</v>
      </c>
      <c r="F46" s="6" t="n">
        <v>4.12059144993825</v>
      </c>
      <c r="G46" s="7" t="n">
        <f aca="false">(F46/58.6934)/(D46/40.078)*1000000</f>
        <v>40.3515885306188</v>
      </c>
      <c r="H46" s="7" t="n">
        <f aca="false">(E46/58.9332)/(D46/40.078)*1000000</f>
        <v>4.3143134552544</v>
      </c>
      <c r="I46" s="8" t="n">
        <v>3485.27523855517</v>
      </c>
      <c r="J46" s="8" t="n">
        <v>8000.63858955667</v>
      </c>
      <c r="K46" s="8" t="n">
        <v>34521.4689643192</v>
      </c>
      <c r="L46" s="8" t="n">
        <v>1667.3577510146</v>
      </c>
      <c r="M46" s="8" t="n">
        <v>23.755620504183</v>
      </c>
      <c r="N46" s="8" t="n">
        <v>1153.27358354434</v>
      </c>
      <c r="O46" s="8" t="n">
        <v>26.153444796773</v>
      </c>
      <c r="P46" s="8" t="n">
        <v>0.413158401326241</v>
      </c>
      <c r="Q46" s="8" t="n">
        <v>4.76666521904012</v>
      </c>
      <c r="R46" s="8" t="n">
        <v>0.860131428376052</v>
      </c>
      <c r="S46" s="8" t="n">
        <v>1418.4078222648</v>
      </c>
      <c r="T46" s="8" t="n">
        <v>1.49939463855063</v>
      </c>
      <c r="U46" s="8" t="n">
        <v>6.40028588336764</v>
      </c>
      <c r="V46" s="8" t="n">
        <v>1.15965025749983</v>
      </c>
      <c r="W46" s="8" t="n">
        <v>0.706449183279823</v>
      </c>
      <c r="X46" s="8" t="n">
        <v>82.4788042733201</v>
      </c>
      <c r="Y46" s="8" t="n">
        <v>0.348407284819653</v>
      </c>
      <c r="Z46" s="8" t="n">
        <v>-0.00357963077242362</v>
      </c>
      <c r="AA46" s="8" t="n">
        <v>0.00476533016154361</v>
      </c>
      <c r="AB46" s="8" t="n">
        <v>0.0781825860938501</v>
      </c>
      <c r="AC46" s="8" t="n">
        <v>0.0592097308640369</v>
      </c>
      <c r="AD46" s="8" t="n">
        <v>0.315848781692049</v>
      </c>
      <c r="AE46" s="8" t="n">
        <v>203.698595325468</v>
      </c>
      <c r="AF46" s="8" t="n">
        <v>0.420451269111964</v>
      </c>
      <c r="AG46" s="8" t="n">
        <v>0.92196764964599</v>
      </c>
      <c r="AH46" s="8" t="n">
        <v>0.109834258763245</v>
      </c>
      <c r="AI46" s="8" t="n">
        <v>0.000273869063571091</v>
      </c>
      <c r="AJ46" s="8" t="n">
        <v>0.426636163973629</v>
      </c>
      <c r="AK46" s="8" t="n">
        <v>0.0820083294988668</v>
      </c>
      <c r="AL46" s="8" t="n">
        <v>0.614229848780979</v>
      </c>
    </row>
    <row r="47" customFormat="false" ht="15" hidden="false" customHeight="false" outlineLevel="0" collapsed="false">
      <c r="A47" s="2" t="s">
        <v>83</v>
      </c>
      <c r="B47" s="3" t="n">
        <v>11</v>
      </c>
      <c r="C47" s="4" t="n">
        <v>0</v>
      </c>
      <c r="D47" s="5" t="n">
        <v>65998.2650680789</v>
      </c>
      <c r="E47" s="6" t="n">
        <v>0.477115621408324</v>
      </c>
      <c r="F47" s="6" t="n">
        <v>3.56908268527354</v>
      </c>
      <c r="G47" s="7" t="n">
        <f aca="false">(F47/58.6934)/(D47/40.078)*1000000</f>
        <v>36.9267310305325</v>
      </c>
      <c r="H47" s="7" t="n">
        <f aca="false">(E47/58.9332)/(D47/40.078)*1000000</f>
        <v>4.91628594308343</v>
      </c>
      <c r="I47" s="8" t="n">
        <v>2379.34503168793</v>
      </c>
      <c r="J47" s="8" t="n">
        <v>7055.09900899739</v>
      </c>
      <c r="K47" s="8" t="n">
        <v>34339.7770774692</v>
      </c>
      <c r="L47" s="8" t="n">
        <v>1426.99197482604</v>
      </c>
      <c r="M47" s="8" t="n">
        <v>29.8561893749342</v>
      </c>
      <c r="N47" s="8" t="n">
        <v>1013.89670876654</v>
      </c>
      <c r="O47" s="8" t="n">
        <v>24.76911449701</v>
      </c>
      <c r="P47" s="8" t="n">
        <v>0.380044561785223</v>
      </c>
      <c r="Q47" s="8" t="n">
        <v>4.00841742949415</v>
      </c>
      <c r="R47" s="8" t="n">
        <v>0.710326597177992</v>
      </c>
      <c r="S47" s="8" t="n">
        <v>1339.79834618117</v>
      </c>
      <c r="T47" s="8" t="n">
        <v>1.13689202270482</v>
      </c>
      <c r="U47" s="8" t="n">
        <v>5.27713371903418</v>
      </c>
      <c r="V47" s="8" t="n">
        <v>0.81994161471733</v>
      </c>
      <c r="W47" s="8" t="n">
        <v>0.580986504157015</v>
      </c>
      <c r="X47" s="8" t="n">
        <v>81.1410898850375</v>
      </c>
      <c r="Y47" s="8" t="n">
        <v>0.298307720069563</v>
      </c>
      <c r="Z47" s="8" t="n">
        <v>-0.0221829255351405</v>
      </c>
      <c r="AA47" s="8" t="n">
        <v>0.00458740834563513</v>
      </c>
      <c r="AB47" s="8" t="n">
        <v>0.131516700962938</v>
      </c>
      <c r="AC47" s="8" t="n">
        <v>0.0479857632787888</v>
      </c>
      <c r="AD47" s="8" t="n">
        <v>0.293230165125333</v>
      </c>
      <c r="AE47" s="8" t="n">
        <v>196.986673463689</v>
      </c>
      <c r="AF47" s="8" t="n">
        <v>0.335115227404468</v>
      </c>
      <c r="AG47" s="8" t="n">
        <v>0.779631431959119</v>
      </c>
      <c r="AH47" s="8" t="n">
        <v>0.136352521870019</v>
      </c>
      <c r="AI47" s="8" t="n">
        <v>0.000848248617484646</v>
      </c>
      <c r="AJ47" s="8" t="n">
        <v>0.362883834643419</v>
      </c>
      <c r="AK47" s="8" t="n">
        <v>0.0522664292463588</v>
      </c>
      <c r="AL47" s="8" t="n">
        <v>0.586985619676332</v>
      </c>
    </row>
    <row r="48" customFormat="false" ht="15" hidden="false" customHeight="false" outlineLevel="0" collapsed="false">
      <c r="A48" s="2" t="s">
        <v>84</v>
      </c>
      <c r="B48" s="3" t="n">
        <v>12</v>
      </c>
      <c r="C48" s="4" t="n">
        <v>0</v>
      </c>
      <c r="D48" s="5" t="n">
        <v>68871.1795926451</v>
      </c>
      <c r="E48" s="6" t="n">
        <v>0.435013828367284</v>
      </c>
      <c r="F48" s="6" t="n">
        <v>4.38232975303999</v>
      </c>
      <c r="G48" s="7" t="n">
        <f aca="false">(F48/58.6934)/(D48/40.078)*1000000</f>
        <v>43.449452144284</v>
      </c>
      <c r="H48" s="7" t="n">
        <f aca="false">(E48/58.9332)/(D48/40.078)*1000000</f>
        <v>4.29547859065734</v>
      </c>
      <c r="I48" s="8" t="n">
        <v>1318.93100833606</v>
      </c>
      <c r="J48" s="8" t="n">
        <v>6072.89551720518</v>
      </c>
      <c r="K48" s="8" t="n">
        <v>35241.9770081114</v>
      </c>
      <c r="L48" s="8" t="n">
        <v>1130.43419242762</v>
      </c>
      <c r="M48" s="8" t="n">
        <v>7.21169297360727</v>
      </c>
      <c r="N48" s="8" t="n">
        <v>947.805051362131</v>
      </c>
      <c r="O48" s="8" t="n">
        <v>19.8484092643176</v>
      </c>
      <c r="P48" s="8" t="n">
        <v>0.326457135180381</v>
      </c>
      <c r="Q48" s="8" t="n">
        <v>3.56706991512841</v>
      </c>
      <c r="R48" s="8" t="n">
        <v>1.34825880125157</v>
      </c>
      <c r="S48" s="8" t="n">
        <v>1388.9472356741</v>
      </c>
      <c r="T48" s="8" t="n">
        <v>1.66975574790585</v>
      </c>
      <c r="U48" s="8" t="n">
        <v>4.08860534024494</v>
      </c>
      <c r="V48" s="8" t="n">
        <v>0.900575564021479</v>
      </c>
      <c r="W48" s="8" t="n">
        <v>0.546236518958753</v>
      </c>
      <c r="X48" s="8" t="n">
        <v>80.4745640224806</v>
      </c>
      <c r="Y48" s="8" t="n">
        <v>0.245165871874247</v>
      </c>
      <c r="Z48" s="8" t="n">
        <v>-0.0202877991499346</v>
      </c>
      <c r="AA48" s="8" t="n">
        <v>0.00643659593385327</v>
      </c>
      <c r="AB48" s="8" t="n">
        <v>0.0864148190503232</v>
      </c>
      <c r="AC48" s="8" t="n">
        <v>0.0514425102756192</v>
      </c>
      <c r="AD48" s="8" t="n">
        <v>0.243690822601621</v>
      </c>
      <c r="AE48" s="8" t="n">
        <v>189.418078676545</v>
      </c>
      <c r="AF48" s="8" t="n">
        <v>0.273140239018683</v>
      </c>
      <c r="AG48" s="8" t="n">
        <v>0.63374673256273</v>
      </c>
      <c r="AH48" s="8" t="n">
        <v>0.111870751940754</v>
      </c>
      <c r="AI48" s="8" t="n">
        <v>0.000615887427547637</v>
      </c>
      <c r="AJ48" s="8" t="n">
        <v>0.546489918535076</v>
      </c>
      <c r="AK48" s="8" t="n">
        <v>0.0544211802588857</v>
      </c>
      <c r="AL48" s="8" t="n">
        <v>0.568765169379413</v>
      </c>
    </row>
    <row r="49" customFormat="false" ht="15" hidden="false" customHeight="false" outlineLevel="0" collapsed="false">
      <c r="A49" s="2" t="s">
        <v>85</v>
      </c>
      <c r="B49" s="3" t="n">
        <v>12</v>
      </c>
      <c r="C49" s="4" t="n">
        <v>0</v>
      </c>
      <c r="D49" s="5" t="n">
        <v>65452.0576755425</v>
      </c>
      <c r="E49" s="6" t="n">
        <v>0.396672794725515</v>
      </c>
      <c r="F49" s="6" t="n">
        <v>3.36484822435088</v>
      </c>
      <c r="G49" s="7" t="n">
        <f aca="false">(F49/58.6934)/(D49/40.078)*1000000</f>
        <v>35.1041893144342</v>
      </c>
      <c r="H49" s="7" t="n">
        <f aca="false">(E49/58.9332)/(D49/40.078)*1000000</f>
        <v>4.12149833871727</v>
      </c>
      <c r="I49" s="8" t="n">
        <v>713.143601614347</v>
      </c>
      <c r="J49" s="8" t="n">
        <v>5229.00623586007</v>
      </c>
      <c r="K49" s="8" t="n">
        <v>33544.5133289445</v>
      </c>
      <c r="L49" s="8" t="n">
        <v>933.282324700361</v>
      </c>
      <c r="M49" s="8" t="n">
        <v>14.0044173557629</v>
      </c>
      <c r="N49" s="8" t="n">
        <v>839.478857170855</v>
      </c>
      <c r="O49" s="8" t="n">
        <v>13.0108975142307</v>
      </c>
      <c r="P49" s="8" t="n">
        <v>0.282880471409287</v>
      </c>
      <c r="Q49" s="8" t="n">
        <v>3.34944862432884</v>
      </c>
      <c r="R49" s="8" t="n">
        <v>0.366372525276251</v>
      </c>
      <c r="S49" s="8" t="n">
        <v>1345.0066616692</v>
      </c>
      <c r="T49" s="8" t="n">
        <v>0.682126402286869</v>
      </c>
      <c r="U49" s="8" t="n">
        <v>1.19944403596783</v>
      </c>
      <c r="V49" s="8" t="n">
        <v>0.853220788081085</v>
      </c>
      <c r="W49" s="8" t="n">
        <v>0.466535496314265</v>
      </c>
      <c r="X49" s="8" t="n">
        <v>76.1337327693945</v>
      </c>
      <c r="Y49" s="8" t="n">
        <v>0.203839004111262</v>
      </c>
      <c r="Z49" s="8" t="n">
        <v>-0.00362839807101094</v>
      </c>
      <c r="AA49" s="8" t="n">
        <v>0.00408334840497027</v>
      </c>
      <c r="AB49" s="8" t="n">
        <v>0.15041549308802</v>
      </c>
      <c r="AC49" s="8" t="n">
        <v>0.0332832051926745</v>
      </c>
      <c r="AD49" s="8" t="n">
        <v>0.215267739207249</v>
      </c>
      <c r="AE49" s="8" t="n">
        <v>180.882767491566</v>
      </c>
      <c r="AF49" s="8" t="n">
        <v>0.221589648247438</v>
      </c>
      <c r="AG49" s="8" t="n">
        <v>0.519021987695055</v>
      </c>
      <c r="AH49" s="8" t="n">
        <v>0.103233783063789</v>
      </c>
      <c r="AI49" s="8" t="n">
        <v>0.00191076662892395</v>
      </c>
      <c r="AJ49" s="8" t="n">
        <v>0.240073769935365</v>
      </c>
      <c r="AK49" s="8" t="n">
        <v>0.0716287900975445</v>
      </c>
      <c r="AL49" s="8" t="n">
        <v>0.543384547150106</v>
      </c>
    </row>
    <row r="50" customFormat="false" ht="15" hidden="false" customHeight="false" outlineLevel="0" collapsed="false">
      <c r="A50" s="2" t="s">
        <v>86</v>
      </c>
      <c r="B50" s="3" t="n">
        <v>16</v>
      </c>
      <c r="C50" s="4" t="n">
        <v>0</v>
      </c>
      <c r="D50" s="5" t="n">
        <v>64040.21616245</v>
      </c>
      <c r="E50" s="6" t="n">
        <v>0.438312495411664</v>
      </c>
      <c r="F50" s="6" t="n">
        <v>3.47936333933665</v>
      </c>
      <c r="G50" s="7" t="n">
        <f aca="false">(F50/58.6934)/(D50/40.078)*1000000</f>
        <v>37.0991335520553</v>
      </c>
      <c r="H50" s="7" t="n">
        <f aca="false">(E50/58.9332)/(D50/40.078)*1000000</f>
        <v>4.65454335661623</v>
      </c>
      <c r="I50" s="8" t="n">
        <v>809.614896438606</v>
      </c>
      <c r="J50" s="8" t="n">
        <v>5664.25673755879</v>
      </c>
      <c r="K50" s="8" t="n">
        <v>33826.4385386017</v>
      </c>
      <c r="L50" s="8" t="n">
        <v>1096.86605600284</v>
      </c>
      <c r="M50" s="8" t="n">
        <v>12.7566317870941</v>
      </c>
      <c r="N50" s="8" t="n">
        <v>856.154176549195</v>
      </c>
      <c r="O50" s="8" t="n">
        <v>20.0829227668446</v>
      </c>
      <c r="P50" s="8" t="n">
        <v>0.296280593674772</v>
      </c>
      <c r="Q50" s="8" t="n">
        <v>3.47639118495653</v>
      </c>
      <c r="R50" s="8" t="n">
        <v>0.595474523267294</v>
      </c>
      <c r="S50" s="8" t="n">
        <v>1328.26355191044</v>
      </c>
      <c r="T50" s="8" t="n">
        <v>0.924105455088581</v>
      </c>
      <c r="U50" s="8" t="n">
        <v>2.32619891712082</v>
      </c>
      <c r="V50" s="8" t="n">
        <v>0.795713612568807</v>
      </c>
      <c r="W50" s="8" t="n">
        <v>0.487725693604527</v>
      </c>
      <c r="X50" s="8" t="n">
        <v>74.6379753918311</v>
      </c>
      <c r="Y50" s="8" t="n">
        <v>0.233430927590588</v>
      </c>
      <c r="Z50" s="8" t="n">
        <v>-0.0168709327310192</v>
      </c>
      <c r="AA50" s="8" t="n">
        <v>0.00585792560128884</v>
      </c>
      <c r="AB50" s="8" t="n">
        <v>0.0807968643045249</v>
      </c>
      <c r="AC50" s="8" t="n">
        <v>0.0457433973010033</v>
      </c>
      <c r="AD50" s="8" t="n">
        <v>0.218046086141796</v>
      </c>
      <c r="AE50" s="8" t="n">
        <v>177.242463143111</v>
      </c>
      <c r="AF50" s="8" t="n">
        <v>0.274499368278366</v>
      </c>
      <c r="AG50" s="8" t="n">
        <v>0.607627783378536</v>
      </c>
      <c r="AH50" s="8" t="n">
        <v>0.0902402004012978</v>
      </c>
      <c r="AI50" s="8" t="n">
        <v>0.000475278747007829</v>
      </c>
      <c r="AJ50" s="8" t="n">
        <v>0.304749120461219</v>
      </c>
      <c r="AK50" s="8" t="n">
        <v>0.0569045191370469</v>
      </c>
      <c r="AL50" s="8" t="n">
        <v>0.575482988268517</v>
      </c>
    </row>
    <row r="51" customFormat="false" ht="15" hidden="false" customHeight="false" outlineLevel="0" collapsed="false">
      <c r="A51" s="2" t="s">
        <v>87</v>
      </c>
      <c r="B51" s="3" t="n">
        <v>14</v>
      </c>
      <c r="C51" s="4" t="n">
        <v>0</v>
      </c>
      <c r="D51" s="5" t="n">
        <v>60413.0723160951</v>
      </c>
      <c r="E51" s="6" t="n">
        <v>0.410060401592112</v>
      </c>
      <c r="F51" s="6" t="n">
        <v>3.44888336505487</v>
      </c>
      <c r="G51" s="7" t="n">
        <f aca="false">(F51/58.6934)/(D51/40.078)*1000000</f>
        <v>38.9820216172181</v>
      </c>
      <c r="H51" s="7" t="n">
        <f aca="false">(E51/58.9332)/(D51/40.078)*1000000</f>
        <v>4.61596947099855</v>
      </c>
      <c r="I51" s="8" t="n">
        <v>1045.69139193016</v>
      </c>
      <c r="J51" s="8" t="n">
        <v>6586.54449836826</v>
      </c>
      <c r="K51" s="8" t="n">
        <v>32798.1933994225</v>
      </c>
      <c r="L51" s="8" t="n">
        <v>1433.0009010454</v>
      </c>
      <c r="M51" s="8" t="n">
        <v>18.6471637911186</v>
      </c>
      <c r="N51" s="8" t="n">
        <v>844.986171793307</v>
      </c>
      <c r="O51" s="8" t="n">
        <v>22.7710060189748</v>
      </c>
      <c r="P51" s="8" t="n">
        <v>0.313405156867282</v>
      </c>
      <c r="Q51" s="8" t="n">
        <v>4.23037191038435</v>
      </c>
      <c r="R51" s="8" t="n">
        <v>0.628290730563851</v>
      </c>
      <c r="S51" s="8" t="n">
        <v>1238.6559517083</v>
      </c>
      <c r="T51" s="8" t="n">
        <v>0.999913777155043</v>
      </c>
      <c r="U51" s="8" t="n">
        <v>1.97126763599565</v>
      </c>
      <c r="V51" s="8" t="n">
        <v>0.842555090899309</v>
      </c>
      <c r="W51" s="8" t="n">
        <v>0.516199029779106</v>
      </c>
      <c r="X51" s="8" t="n">
        <v>74.2434089177047</v>
      </c>
      <c r="Y51" s="8" t="n">
        <v>0.287080295256874</v>
      </c>
      <c r="Z51" s="8" t="n">
        <v>-0.0118389187730958</v>
      </c>
      <c r="AA51" s="8" t="n">
        <v>0.00712309023160409</v>
      </c>
      <c r="AB51" s="8" t="n">
        <v>0.163781472791984</v>
      </c>
      <c r="AC51" s="8" t="n">
        <v>0.0522901263401399</v>
      </c>
      <c r="AD51" s="8" t="n">
        <v>0.272244565402506</v>
      </c>
      <c r="AE51" s="8" t="n">
        <v>169.720293721731</v>
      </c>
      <c r="AF51" s="8" t="n">
        <v>0.345335493200603</v>
      </c>
      <c r="AG51" s="8" t="n">
        <v>0.803154711625212</v>
      </c>
      <c r="AH51" s="8" t="n">
        <v>0.0984447179924343</v>
      </c>
      <c r="AI51" s="8" t="n">
        <v>0.000466905932864274</v>
      </c>
      <c r="AJ51" s="8" t="n">
        <v>0.346251568478538</v>
      </c>
      <c r="AK51" s="8" t="n">
        <v>0.0744343863030062</v>
      </c>
      <c r="AL51" s="8" t="n">
        <v>0.568408396341886</v>
      </c>
    </row>
    <row r="52" customFormat="false" ht="15" hidden="false" customHeight="false" outlineLevel="0" collapsed="false">
      <c r="A52" s="2" t="s">
        <v>88</v>
      </c>
      <c r="B52" s="3" t="n">
        <v>12</v>
      </c>
      <c r="C52" s="4" t="n">
        <v>0</v>
      </c>
      <c r="D52" s="5" t="n">
        <v>59965.382059634</v>
      </c>
      <c r="E52" s="6" t="n">
        <v>0.378871821116549</v>
      </c>
      <c r="F52" s="6" t="n">
        <v>4.1263243422532</v>
      </c>
      <c r="G52" s="7" t="n">
        <f aca="false">(F52/58.6934)/(D52/40.078)*1000000</f>
        <v>46.9871960817974</v>
      </c>
      <c r="H52" s="7" t="n">
        <f aca="false">(E52/58.9332)/(D52/40.078)*1000000</f>
        <v>4.29672657524629</v>
      </c>
      <c r="I52" s="8" t="n">
        <v>1195.38774198616</v>
      </c>
      <c r="J52" s="8" t="n">
        <v>7308.07246249372</v>
      </c>
      <c r="K52" s="8" t="n">
        <v>33178.7996561466</v>
      </c>
      <c r="L52" s="8" t="n">
        <v>1548.21612802133</v>
      </c>
      <c r="M52" s="8" t="n">
        <v>18.3176266351477</v>
      </c>
      <c r="N52" s="8" t="n">
        <v>828.099345354811</v>
      </c>
      <c r="O52" s="8" t="n">
        <v>23.6063827692796</v>
      </c>
      <c r="P52" s="8" t="n">
        <v>0.302790807416271</v>
      </c>
      <c r="Q52" s="8" t="n">
        <v>4.28490700868805</v>
      </c>
      <c r="R52" s="8" t="n">
        <v>0.680719528208175</v>
      </c>
      <c r="S52" s="8" t="n">
        <v>1227.30866509305</v>
      </c>
      <c r="T52" s="8" t="n">
        <v>0.967088929345447</v>
      </c>
      <c r="U52" s="8" t="n">
        <v>1.94150613528662</v>
      </c>
      <c r="V52" s="8" t="n">
        <v>0.891851534402838</v>
      </c>
      <c r="W52" s="8" t="n">
        <v>0.546713256160248</v>
      </c>
      <c r="X52" s="8" t="n">
        <v>74.3194752285185</v>
      </c>
      <c r="Y52" s="8" t="n">
        <v>0.32473288801708</v>
      </c>
      <c r="Z52" s="8" t="n">
        <v>-0.0109129712927164</v>
      </c>
      <c r="AA52" s="8" t="n">
        <v>0.00470985625051794</v>
      </c>
      <c r="AB52" s="8" t="n">
        <v>0.127535126075455</v>
      </c>
      <c r="AC52" s="8" t="n">
        <v>0.0619035005913535</v>
      </c>
      <c r="AD52" s="8" t="n">
        <v>0.295783200004725</v>
      </c>
      <c r="AE52" s="8" t="n">
        <v>169.592847801411</v>
      </c>
      <c r="AF52" s="8" t="n">
        <v>0.356194915694703</v>
      </c>
      <c r="AG52" s="8" t="n">
        <v>0.832010759512869</v>
      </c>
      <c r="AH52" s="8" t="n">
        <v>0.114513595840345</v>
      </c>
      <c r="AI52" s="8" t="n">
        <v>0.000914638004120684</v>
      </c>
      <c r="AJ52" s="8" t="n">
        <v>0.397843949663625</v>
      </c>
      <c r="AK52" s="8" t="n">
        <v>0.0908059570494801</v>
      </c>
      <c r="AL52" s="8" t="n">
        <v>0.566335027259786</v>
      </c>
    </row>
    <row r="53" customFormat="false" ht="15" hidden="false" customHeight="false" outlineLevel="0" collapsed="false">
      <c r="A53" s="2" t="s">
        <v>89</v>
      </c>
      <c r="B53" s="3" t="n">
        <v>13</v>
      </c>
      <c r="C53" s="4" t="n">
        <v>0</v>
      </c>
      <c r="D53" s="5" t="n">
        <v>51237.938347038</v>
      </c>
      <c r="E53" s="6" t="n">
        <v>0.337390251942403</v>
      </c>
      <c r="F53" s="6" t="n">
        <v>2.9944993726042</v>
      </c>
      <c r="G53" s="7" t="n">
        <f aca="false">(F53/58.6934)/(D53/40.078)*1000000</f>
        <v>39.9070249428972</v>
      </c>
      <c r="H53" s="7" t="n">
        <f aca="false">(E53/58.9332)/(D53/40.078)*1000000</f>
        <v>4.4780289954703</v>
      </c>
      <c r="I53" s="8" t="n">
        <v>1020.23501780717</v>
      </c>
      <c r="J53" s="8" t="n">
        <v>6947.06660575697</v>
      </c>
      <c r="K53" s="8" t="n">
        <v>33126.6089335197</v>
      </c>
      <c r="L53" s="8" t="n">
        <v>1399.00679864645</v>
      </c>
      <c r="M53" s="8" t="n">
        <v>14.0951952849417</v>
      </c>
      <c r="N53" s="8" t="n">
        <v>863.989136418972</v>
      </c>
      <c r="O53" s="8" t="n">
        <v>22.8149085296802</v>
      </c>
      <c r="P53" s="8" t="n">
        <v>0.303751135212999</v>
      </c>
      <c r="Q53" s="8" t="n">
        <v>3.79473154430279</v>
      </c>
      <c r="R53" s="8" t="n">
        <v>0.567313014279116</v>
      </c>
      <c r="S53" s="8" t="n">
        <v>1039.2397519157</v>
      </c>
      <c r="T53" s="8" t="n">
        <v>1.54687166695307</v>
      </c>
      <c r="U53" s="8" t="n">
        <v>2.62891464781768</v>
      </c>
      <c r="V53" s="8" t="n">
        <v>0.840442211621807</v>
      </c>
      <c r="W53" s="8" t="n">
        <v>0.524619911217545</v>
      </c>
      <c r="X53" s="8" t="n">
        <v>71.0572002931801</v>
      </c>
      <c r="Y53" s="8" t="n">
        <v>0.279101974343446</v>
      </c>
      <c r="Z53" s="8" t="n">
        <v>-0.00884244725581077</v>
      </c>
      <c r="AA53" s="8" t="n">
        <v>0.000353428426653257</v>
      </c>
      <c r="AB53" s="8" t="n">
        <v>0.130315491368204</v>
      </c>
      <c r="AC53" s="8" t="n">
        <v>0.0497538305864334</v>
      </c>
      <c r="AD53" s="8" t="n">
        <v>0.278110584580578</v>
      </c>
      <c r="AE53" s="8" t="n">
        <v>162.268937965439</v>
      </c>
      <c r="AF53" s="8" t="n">
        <v>0.32428707920142</v>
      </c>
      <c r="AG53" s="8" t="n">
        <v>0.729998838856493</v>
      </c>
      <c r="AH53" s="8" t="n">
        <v>0.128719343008084</v>
      </c>
      <c r="AI53" s="8" t="n">
        <v>0.000460016956837178</v>
      </c>
      <c r="AJ53" s="8" t="n">
        <v>0.38218633565441</v>
      </c>
      <c r="AK53" s="8" t="n">
        <v>0.0828327002468093</v>
      </c>
      <c r="AL53" s="8" t="n">
        <v>0.579696698130483</v>
      </c>
    </row>
    <row r="54" customFormat="false" ht="15" hidden="false" customHeight="false" outlineLevel="0" collapsed="false">
      <c r="A54" s="2" t="s">
        <v>90</v>
      </c>
      <c r="B54" s="3" t="n">
        <v>9.5</v>
      </c>
      <c r="C54" s="4" t="n">
        <v>0</v>
      </c>
      <c r="D54" s="5" t="n">
        <v>63451.0165831219</v>
      </c>
      <c r="E54" s="6" t="n">
        <v>0.445322263310792</v>
      </c>
      <c r="F54" s="6" t="n">
        <v>3.93497171149679</v>
      </c>
      <c r="G54" s="7" t="n">
        <f aca="false">(F54/58.6934)/(D54/40.078)*1000000</f>
        <v>42.3467224861005</v>
      </c>
      <c r="H54" s="7" t="n">
        <f aca="false">(E54/58.9332)/(D54/40.078)*1000000</f>
        <v>4.77289456403173</v>
      </c>
      <c r="I54" s="8" t="n">
        <v>1104.78347526639</v>
      </c>
      <c r="J54" s="8" t="n">
        <v>7252.47681784743</v>
      </c>
      <c r="K54" s="8" t="n">
        <v>33206.4752510859</v>
      </c>
      <c r="L54" s="8" t="n">
        <v>1493.97228914547</v>
      </c>
      <c r="M54" s="8" t="n">
        <v>18.7046118934521</v>
      </c>
      <c r="N54" s="8" t="n">
        <v>932.089670982259</v>
      </c>
      <c r="O54" s="8" t="n">
        <v>23.8013093468622</v>
      </c>
      <c r="P54" s="8" t="n">
        <v>0.315898464612588</v>
      </c>
      <c r="Q54" s="8" t="n">
        <v>4.42722827680899</v>
      </c>
      <c r="R54" s="8" t="n">
        <v>0.776810571080945</v>
      </c>
      <c r="S54" s="8" t="n">
        <v>1292.96840119838</v>
      </c>
      <c r="T54" s="8" t="n">
        <v>1.59350117158653</v>
      </c>
      <c r="U54" s="8" t="n">
        <v>4.22855443980954</v>
      </c>
      <c r="V54" s="8" t="n">
        <v>0.81872358069524</v>
      </c>
      <c r="W54" s="8" t="n">
        <v>0.614348261125791</v>
      </c>
      <c r="X54" s="8" t="n">
        <v>71.9248151047596</v>
      </c>
      <c r="Y54" s="8" t="n">
        <v>0.316905606219436</v>
      </c>
      <c r="Z54" s="8" t="n">
        <v>-0.0129886788924245</v>
      </c>
      <c r="AA54" s="8" t="n">
        <v>0.0100700515333729</v>
      </c>
      <c r="AB54" s="8" t="n">
        <v>0.076148968949499</v>
      </c>
      <c r="AC54" s="8" t="n">
        <v>0.0501661686177808</v>
      </c>
      <c r="AD54" s="8" t="n">
        <v>0.295807381716491</v>
      </c>
      <c r="AE54" s="8" t="n">
        <v>170.272012147562</v>
      </c>
      <c r="AF54" s="8" t="n">
        <v>0.375504672212593</v>
      </c>
      <c r="AG54" s="8" t="n">
        <v>0.856113125119314</v>
      </c>
      <c r="AH54" s="8" t="n">
        <v>0.132762743466</v>
      </c>
      <c r="AI54" s="8" t="n">
        <v>0.000335459042173581</v>
      </c>
      <c r="AJ54" s="8" t="n">
        <v>0.391369830568127</v>
      </c>
      <c r="AK54" s="8" t="n">
        <v>0.0823287174385697</v>
      </c>
      <c r="AL54" s="8" t="n">
        <v>0.577184536906176</v>
      </c>
    </row>
    <row r="55" customFormat="false" ht="15" hidden="false" customHeight="false" outlineLevel="0" collapsed="false">
      <c r="A55" s="2" t="s">
        <v>91</v>
      </c>
      <c r="B55" s="3" t="n">
        <v>8.5</v>
      </c>
      <c r="C55" s="4" t="n">
        <v>0</v>
      </c>
      <c r="D55" s="5" t="n">
        <v>61841.2695758342</v>
      </c>
      <c r="E55" s="6" t="n">
        <v>0.390757477043</v>
      </c>
      <c r="F55" s="6" t="n">
        <v>3.96656141650193</v>
      </c>
      <c r="G55" s="7" t="n">
        <f aca="false">(F55/58.6934)/(D55/40.078)*1000000</f>
        <v>43.7978265182871</v>
      </c>
      <c r="H55" s="7" t="n">
        <f aca="false">(E55/58.9332)/(D55/40.078)*1000000</f>
        <v>4.29709462784137</v>
      </c>
      <c r="I55" s="8" t="n">
        <v>1074.04364357709</v>
      </c>
      <c r="J55" s="8" t="n">
        <v>7426.63057960694</v>
      </c>
      <c r="K55" s="8" t="n">
        <v>34922.2157681595</v>
      </c>
      <c r="L55" s="8" t="n">
        <v>1508.81811330906</v>
      </c>
      <c r="M55" s="8" t="n">
        <v>20.2802651725773</v>
      </c>
      <c r="N55" s="8" t="n">
        <v>1061.75523932855</v>
      </c>
      <c r="O55" s="8" t="n">
        <v>23.9022723002977</v>
      </c>
      <c r="P55" s="8" t="n">
        <v>0.325290652290302</v>
      </c>
      <c r="Q55" s="8" t="n">
        <v>4.44383609023941</v>
      </c>
      <c r="R55" s="8" t="n">
        <v>0.845105493127445</v>
      </c>
      <c r="S55" s="8" t="n">
        <v>1259.2574051092</v>
      </c>
      <c r="T55" s="8" t="n">
        <v>1.32851271288803</v>
      </c>
      <c r="U55" s="8" t="n">
        <v>5.12355594339918</v>
      </c>
      <c r="V55" s="8" t="n">
        <v>0.879584518036553</v>
      </c>
      <c r="W55" s="8" t="n">
        <v>0.630336351337247</v>
      </c>
      <c r="X55" s="8" t="n">
        <v>68.3301963048341</v>
      </c>
      <c r="Y55" s="8" t="n">
        <v>0.318213431715164</v>
      </c>
      <c r="Z55" s="8" t="n">
        <v>-0.0184424893234159</v>
      </c>
      <c r="AA55" s="8" t="n">
        <v>0.0051984207987337</v>
      </c>
      <c r="AB55" s="8" t="n">
        <v>0.0846828098948387</v>
      </c>
      <c r="AC55" s="8" t="n">
        <v>0.0429611039765276</v>
      </c>
      <c r="AD55" s="8" t="n">
        <v>0.308328034698448</v>
      </c>
      <c r="AE55" s="8" t="n">
        <v>165.153314829281</v>
      </c>
      <c r="AF55" s="8" t="n">
        <v>0.361517392147749</v>
      </c>
      <c r="AG55" s="8" t="n">
        <v>0.831164566587833</v>
      </c>
      <c r="AH55" s="8" t="n">
        <v>0.113530813501356</v>
      </c>
      <c r="AI55" s="8" t="n">
        <v>0.00172464666124931</v>
      </c>
      <c r="AJ55" s="8" t="n">
        <v>0.80920845968434</v>
      </c>
      <c r="AK55" s="8" t="n">
        <v>0.0867113973890094</v>
      </c>
      <c r="AL55" s="8" t="n">
        <v>0.54202207371048</v>
      </c>
    </row>
    <row r="56" customFormat="false" ht="15" hidden="false" customHeight="false" outlineLevel="0" collapsed="false">
      <c r="A56" s="2" t="s">
        <v>92</v>
      </c>
      <c r="B56" s="3" t="n">
        <v>11</v>
      </c>
      <c r="C56" s="4" t="n">
        <v>0</v>
      </c>
      <c r="D56" s="5" t="n">
        <v>57767.0679807111</v>
      </c>
      <c r="E56" s="6" t="n">
        <v>0.384604123969247</v>
      </c>
      <c r="F56" s="6" t="n">
        <v>3.32191466052553</v>
      </c>
      <c r="G56" s="7" t="n">
        <f aca="false">(F56/58.6934)/(D56/40.078)*1000000</f>
        <v>39.2667465295785</v>
      </c>
      <c r="H56" s="7" t="n">
        <f aca="false">(E56/58.9332)/(D56/40.078)*1000000</f>
        <v>4.52772070347332</v>
      </c>
      <c r="I56" s="8" t="n">
        <v>793.393996209665</v>
      </c>
      <c r="J56" s="8" t="n">
        <v>6209.66460713796</v>
      </c>
      <c r="K56" s="8" t="n">
        <v>34031.5240784536</v>
      </c>
      <c r="L56" s="8" t="n">
        <v>1186.14419783987</v>
      </c>
      <c r="M56" s="8" t="n">
        <v>10.2975698541325</v>
      </c>
      <c r="N56" s="8" t="n">
        <v>970.978372923787</v>
      </c>
      <c r="O56" s="8" t="n">
        <v>19.8222608446499</v>
      </c>
      <c r="P56" s="8" t="n">
        <v>0.296567186199509</v>
      </c>
      <c r="Q56" s="8" t="n">
        <v>3.81598014724265</v>
      </c>
      <c r="R56" s="8" t="n">
        <v>0.53882130970359</v>
      </c>
      <c r="S56" s="8" t="n">
        <v>1174.38258809797</v>
      </c>
      <c r="T56" s="8" t="n">
        <v>1.25272177555475</v>
      </c>
      <c r="U56" s="8" t="n">
        <v>2.76112328774119</v>
      </c>
      <c r="V56" s="8" t="n">
        <v>0.868374319882583</v>
      </c>
      <c r="W56" s="8" t="n">
        <v>0.547019429320787</v>
      </c>
      <c r="X56" s="8" t="n">
        <v>74.3315914683974</v>
      </c>
      <c r="Y56" s="8" t="n">
        <v>0.252555066854564</v>
      </c>
      <c r="Z56" s="8" t="n">
        <v>-0.015512043492741</v>
      </c>
      <c r="AA56" s="8" t="n">
        <v>0.00590390199427253</v>
      </c>
      <c r="AB56" s="8" t="n">
        <v>0.154450584807594</v>
      </c>
      <c r="AC56" s="8" t="n">
        <v>0.0562456037880208</v>
      </c>
      <c r="AD56" s="8" t="n">
        <v>0.263661893781308</v>
      </c>
      <c r="AE56" s="8" t="n">
        <v>179.577347979728</v>
      </c>
      <c r="AF56" s="8" t="n">
        <v>0.296010299876005</v>
      </c>
      <c r="AG56" s="8" t="n">
        <v>0.670633152894117</v>
      </c>
      <c r="AH56" s="8" t="n">
        <v>0.107514926951317</v>
      </c>
      <c r="AI56" s="8" t="n">
        <v>0.00092333839684664</v>
      </c>
      <c r="AJ56" s="8" t="n">
        <v>0.544786136950993</v>
      </c>
      <c r="AK56" s="8" t="n">
        <v>0.0651194544943285</v>
      </c>
      <c r="AL56" s="8" t="n">
        <v>0.592353430835342</v>
      </c>
    </row>
    <row r="57" customFormat="false" ht="15" hidden="false" customHeight="false" outlineLevel="0" collapsed="false">
      <c r="A57" s="2" t="s">
        <v>93</v>
      </c>
      <c r="B57" s="3" t="n">
        <v>12</v>
      </c>
      <c r="C57" s="4" t="n">
        <v>0</v>
      </c>
      <c r="D57" s="5" t="n">
        <v>66038.6362393237</v>
      </c>
      <c r="E57" s="6" t="n">
        <v>0.41469823520633</v>
      </c>
      <c r="F57" s="6" t="n">
        <v>3.70687076586317</v>
      </c>
      <c r="G57" s="7" t="n">
        <f aca="false">(F57/58.6934)/(D57/40.078)*1000000</f>
        <v>38.3288793844991</v>
      </c>
      <c r="H57" s="7" t="n">
        <f aca="false">(E57/58.9332)/(D57/40.078)*1000000</f>
        <v>4.27051359377864</v>
      </c>
      <c r="I57" s="8" t="n">
        <v>848.568730740263</v>
      </c>
      <c r="J57" s="8" t="n">
        <v>6479.79893518821</v>
      </c>
      <c r="K57" s="8" t="n">
        <v>32680.4679731824</v>
      </c>
      <c r="L57" s="8" t="n">
        <v>1298.85593064916</v>
      </c>
      <c r="M57" s="8" t="n">
        <v>21.3025733038389</v>
      </c>
      <c r="N57" s="8" t="n">
        <v>938.678029008701</v>
      </c>
      <c r="O57" s="8" t="n">
        <v>16.319630313751</v>
      </c>
      <c r="P57" s="8" t="n">
        <v>0.320954399707006</v>
      </c>
      <c r="Q57" s="8" t="n">
        <v>4.25116280722973</v>
      </c>
      <c r="R57" s="8" t="n">
        <v>0.618414977794012</v>
      </c>
      <c r="S57" s="8" t="n">
        <v>1385.54297506375</v>
      </c>
      <c r="T57" s="8" t="n">
        <v>0.927629373182119</v>
      </c>
      <c r="U57" s="8" t="n">
        <v>3.26712160315154</v>
      </c>
      <c r="V57" s="8" t="n">
        <v>0.923324350448326</v>
      </c>
      <c r="W57" s="8" t="n">
        <v>0.52339581914911</v>
      </c>
      <c r="X57" s="8" t="n">
        <v>78.1864474475454</v>
      </c>
      <c r="Y57" s="8" t="n">
        <v>0.277950078356063</v>
      </c>
      <c r="Z57" s="8" t="n">
        <v>-0.00215786297927241</v>
      </c>
      <c r="AA57" s="8" t="n">
        <v>0.00721582877672011</v>
      </c>
      <c r="AB57" s="8" t="n">
        <v>0.131948868742818</v>
      </c>
      <c r="AC57" s="8" t="n">
        <v>0.040287612538932</v>
      </c>
      <c r="AD57" s="8" t="n">
        <v>0.260487392573699</v>
      </c>
      <c r="AE57" s="8" t="n">
        <v>196.830721627944</v>
      </c>
      <c r="AF57" s="8" t="n">
        <v>0.33592461509703</v>
      </c>
      <c r="AG57" s="8" t="n">
        <v>0.734301139960795</v>
      </c>
      <c r="AH57" s="8" t="n">
        <v>0.155084284788805</v>
      </c>
      <c r="AI57" s="8" t="n">
        <v>0.00136333237084286</v>
      </c>
      <c r="AJ57" s="8" t="n">
        <v>0.314762985023576</v>
      </c>
      <c r="AK57" s="8" t="n">
        <v>0.0894033231934136</v>
      </c>
      <c r="AL57" s="8" t="n">
        <v>0.566107447487953</v>
      </c>
    </row>
    <row r="58" customFormat="false" ht="15" hidden="false" customHeight="false" outlineLevel="0" collapsed="false">
      <c r="A58" s="2" t="s">
        <v>94</v>
      </c>
      <c r="B58" s="3" t="n">
        <v>12.5</v>
      </c>
      <c r="C58" s="4" t="n">
        <v>0</v>
      </c>
      <c r="D58" s="5" t="n">
        <v>66754.8915111486</v>
      </c>
      <c r="E58" s="6" t="n">
        <v>0.448185651235823</v>
      </c>
      <c r="F58" s="6" t="n">
        <v>3.94905076730395</v>
      </c>
      <c r="G58" s="7" t="n">
        <f aca="false">(F58/58.6934)/(D58/40.078)*1000000</f>
        <v>40.3948867843975</v>
      </c>
      <c r="H58" s="7" t="n">
        <f aca="false">(E58/58.9332)/(D58/40.078)*1000000</f>
        <v>4.56584192383727</v>
      </c>
      <c r="I58" s="8" t="n">
        <v>1023.75972852043</v>
      </c>
      <c r="J58" s="8" t="n">
        <v>7616.82909008932</v>
      </c>
      <c r="K58" s="8" t="n">
        <v>34085.3271578074</v>
      </c>
      <c r="L58" s="8" t="n">
        <v>1529.70483637653</v>
      </c>
      <c r="M58" s="8" t="n">
        <v>18.0173143550943</v>
      </c>
      <c r="N58" s="8" t="n">
        <v>1067.19666574856</v>
      </c>
      <c r="O58" s="8" t="n">
        <v>23.6516649399915</v>
      </c>
      <c r="P58" s="8" t="n">
        <v>0.368153985944818</v>
      </c>
      <c r="Q58" s="8" t="n">
        <v>5.44340792149335</v>
      </c>
      <c r="R58" s="8" t="n">
        <v>0.94637795354322</v>
      </c>
      <c r="S58" s="8" t="n">
        <v>1358.83601984314</v>
      </c>
      <c r="T58" s="8" t="n">
        <v>1.20280588457277</v>
      </c>
      <c r="U58" s="8" t="n">
        <v>2.74881498049601</v>
      </c>
      <c r="V58" s="8" t="n">
        <v>1.06103914667681</v>
      </c>
      <c r="W58" s="8" t="n">
        <v>0.653036100623926</v>
      </c>
      <c r="X58" s="8" t="n">
        <v>81.4658091422357</v>
      </c>
      <c r="Y58" s="8" t="n">
        <v>0.323695164148759</v>
      </c>
      <c r="Z58" s="8" t="n">
        <v>-0.0134207108370858</v>
      </c>
      <c r="AA58" s="8" t="n">
        <v>0.00696639220522767</v>
      </c>
      <c r="AB58" s="8" t="n">
        <v>0.119253810612913</v>
      </c>
      <c r="AC58" s="8" t="n">
        <v>0.0565896212978296</v>
      </c>
      <c r="AD58" s="8" t="n">
        <v>0.318521358046618</v>
      </c>
      <c r="AE58" s="8" t="n">
        <v>206.414114213999</v>
      </c>
      <c r="AF58" s="8" t="n">
        <v>0.372953993490405</v>
      </c>
      <c r="AG58" s="8" t="n">
        <v>0.838552891330418</v>
      </c>
      <c r="AH58" s="8" t="n">
        <v>0.148467566987834</v>
      </c>
      <c r="AI58" s="8" t="n">
        <v>0.000548909182397727</v>
      </c>
      <c r="AJ58" s="8" t="n">
        <v>0.396028532755309</v>
      </c>
      <c r="AK58" s="8" t="n">
        <v>0.0857320756129582</v>
      </c>
      <c r="AL58" s="8" t="n">
        <v>0.573537690088874</v>
      </c>
    </row>
    <row r="59" customFormat="false" ht="15" hidden="false" customHeight="false" outlineLevel="0" collapsed="false">
      <c r="A59" s="2" t="s">
        <v>95</v>
      </c>
      <c r="B59" s="3" t="n">
        <v>9.5</v>
      </c>
      <c r="C59" s="4" t="n">
        <v>0</v>
      </c>
      <c r="D59" s="5" t="n">
        <v>68161.1928398377</v>
      </c>
      <c r="E59" s="6" t="n">
        <v>0.476612730734151</v>
      </c>
      <c r="F59" s="6" t="n">
        <v>7.93846209351082</v>
      </c>
      <c r="G59" s="7" t="n">
        <f aca="false">(F59/58.6934)/(D59/40.078)*1000000</f>
        <v>79.5272501785563</v>
      </c>
      <c r="H59" s="7" t="n">
        <f aca="false">(E59/58.9332)/(D59/40.078)*1000000</f>
        <v>4.75526226055755</v>
      </c>
      <c r="I59" s="8" t="n">
        <v>658.175350953608</v>
      </c>
      <c r="J59" s="8" t="n">
        <v>5807.89884611538</v>
      </c>
      <c r="K59" s="8" t="n">
        <v>34380.7919804577</v>
      </c>
      <c r="L59" s="8" t="n">
        <v>1059.40651683686</v>
      </c>
      <c r="M59" s="8" t="n">
        <v>29.2191012614353</v>
      </c>
      <c r="N59" s="8" t="n">
        <v>1067.97442203689</v>
      </c>
      <c r="O59" s="8" t="n">
        <v>19.0732481948175</v>
      </c>
      <c r="P59" s="8" t="n">
        <v>0.329632596694755</v>
      </c>
      <c r="Q59" s="8" t="n">
        <v>3.80680936298387</v>
      </c>
      <c r="R59" s="8" t="n">
        <v>0.792878073268808</v>
      </c>
      <c r="S59" s="8" t="n">
        <v>1409.85918120958</v>
      </c>
      <c r="T59" s="8" t="n">
        <v>1.12724093019374</v>
      </c>
      <c r="U59" s="8" t="n">
        <v>2.65487022422192</v>
      </c>
      <c r="V59" s="8" t="n">
        <v>0.859696560164656</v>
      </c>
      <c r="W59" s="8" t="n">
        <v>0.609858296835056</v>
      </c>
      <c r="X59" s="8" t="n">
        <v>82.7552596604145</v>
      </c>
      <c r="Y59" s="8" t="n">
        <v>0.236235049686366</v>
      </c>
      <c r="Z59" s="8" t="n">
        <v>-0.0120804431804404</v>
      </c>
      <c r="AA59" s="8" t="n">
        <v>0.00664958510074685</v>
      </c>
      <c r="AB59" s="8" t="n">
        <v>0.106265044955438</v>
      </c>
      <c r="AC59" s="8" t="n">
        <v>0.0463821420795811</v>
      </c>
      <c r="AD59" s="8" t="n">
        <v>0.235685294890153</v>
      </c>
      <c r="AE59" s="8" t="n">
        <v>201.706509032439</v>
      </c>
      <c r="AF59" s="8" t="n">
        <v>0.265097377974559</v>
      </c>
      <c r="AG59" s="8" t="n">
        <v>0.602096544924886</v>
      </c>
      <c r="AH59" s="8" t="n">
        <v>0.100447232092369</v>
      </c>
      <c r="AI59" s="8" t="n">
        <v>0.00201398986985633</v>
      </c>
      <c r="AJ59" s="8" t="n">
        <v>0.361859466331699</v>
      </c>
      <c r="AK59" s="8" t="n">
        <v>0.0495149173611713</v>
      </c>
      <c r="AL59" s="8" t="n">
        <v>0.582111604003499</v>
      </c>
    </row>
    <row r="60" customFormat="false" ht="15" hidden="false" customHeight="false" outlineLevel="0" collapsed="false">
      <c r="A60" s="2" t="s">
        <v>96</v>
      </c>
      <c r="B60" s="3" t="n">
        <v>22.5</v>
      </c>
      <c r="C60" s="4" t="n">
        <v>0</v>
      </c>
      <c r="D60" s="5" t="n">
        <v>68600.4840378714</v>
      </c>
      <c r="E60" s="6" t="n">
        <v>0.443663016470138</v>
      </c>
      <c r="F60" s="6" t="n">
        <v>5.14576698674487</v>
      </c>
      <c r="G60" s="7" t="n">
        <f aca="false">(F60/58.6934)/(D60/40.078)*1000000</f>
        <v>51.2200159225659</v>
      </c>
      <c r="H60" s="7" t="n">
        <f aca="false">(E60/58.9332)/(D60/40.078)*1000000</f>
        <v>4.39817053932085</v>
      </c>
      <c r="I60" s="8" t="n">
        <v>631.984317289637</v>
      </c>
      <c r="J60" s="8" t="n">
        <v>5452.18678178256</v>
      </c>
      <c r="K60" s="8" t="n">
        <v>34411.6133447229</v>
      </c>
      <c r="L60" s="8" t="n">
        <v>998.523311521903</v>
      </c>
      <c r="M60" s="8" t="n">
        <v>12.8873276249454</v>
      </c>
      <c r="N60" s="8" t="n">
        <v>985.851091141209</v>
      </c>
      <c r="O60" s="8" t="n">
        <v>18.8329481725091</v>
      </c>
      <c r="P60" s="8" t="n">
        <v>0.270653989944898</v>
      </c>
      <c r="Q60" s="8" t="n">
        <v>3.52160694729274</v>
      </c>
      <c r="R60" s="8" t="n">
        <v>0.656606530277698</v>
      </c>
      <c r="S60" s="8" t="n">
        <v>1415.57641970221</v>
      </c>
      <c r="T60" s="8" t="n">
        <v>0.895133723612627</v>
      </c>
      <c r="U60" s="8" t="n">
        <v>2.72037053726768</v>
      </c>
      <c r="V60" s="8" t="n">
        <v>0.964510378699771</v>
      </c>
      <c r="W60" s="8" t="n">
        <v>0.562872904915745</v>
      </c>
      <c r="X60" s="8" t="n">
        <v>79.3086954233741</v>
      </c>
      <c r="Y60" s="8" t="n">
        <v>0.207406058626614</v>
      </c>
      <c r="Z60" s="8" t="n">
        <v>-0.00976917471726384</v>
      </c>
      <c r="AA60" s="8" t="n">
        <v>0.00517280709124696</v>
      </c>
      <c r="AB60" s="8" t="n">
        <v>0.0809600063996295</v>
      </c>
      <c r="AC60" s="8" t="n">
        <v>0.052361107274801</v>
      </c>
      <c r="AD60" s="8" t="n">
        <v>0.244719663450262</v>
      </c>
      <c r="AE60" s="8" t="n">
        <v>195.857906554301</v>
      </c>
      <c r="AF60" s="8" t="n">
        <v>0.241790420823408</v>
      </c>
      <c r="AG60" s="8" t="n">
        <v>0.558432275865724</v>
      </c>
      <c r="AH60" s="8" t="n">
        <v>0.121266704026004</v>
      </c>
      <c r="AI60" s="8" t="n">
        <v>0.00239863889227198</v>
      </c>
      <c r="AJ60" s="8" t="n">
        <v>0.307796138280581</v>
      </c>
      <c r="AK60" s="8" t="n">
        <v>0.0503130438399299</v>
      </c>
      <c r="AL60" s="8" t="n">
        <v>0.569014292600892</v>
      </c>
    </row>
    <row r="61" customFormat="false" ht="15" hidden="false" customHeight="false" outlineLevel="0" collapsed="false">
      <c r="A61" s="2" t="s">
        <v>97</v>
      </c>
      <c r="B61" s="3" t="n">
        <v>13.5</v>
      </c>
      <c r="C61" s="4" t="n">
        <v>0</v>
      </c>
      <c r="D61" s="5" t="n">
        <v>68840.9502039011</v>
      </c>
      <c r="E61" s="6" t="n">
        <v>0.453633876906127</v>
      </c>
      <c r="F61" s="6" t="n">
        <v>4.09355369182761</v>
      </c>
      <c r="G61" s="7" t="n">
        <f aca="false">(F61/58.6934)/(D61/40.078)*1000000</f>
        <v>40.6041485207365</v>
      </c>
      <c r="H61" s="7" t="n">
        <f aca="false">(E61/58.9332)/(D61/40.078)*1000000</f>
        <v>4.48130642248598</v>
      </c>
      <c r="I61" s="8" t="n">
        <v>687.07084993528</v>
      </c>
      <c r="J61" s="8" t="n">
        <v>5972.14626404812</v>
      </c>
      <c r="K61" s="8" t="n">
        <v>34468.132402236</v>
      </c>
      <c r="L61" s="8" t="n">
        <v>1051.91336807591</v>
      </c>
      <c r="M61" s="8" t="n">
        <v>24.7234266095042</v>
      </c>
      <c r="N61" s="8" t="n">
        <v>1101.34951631263</v>
      </c>
      <c r="O61" s="8" t="n">
        <v>18.0549514714303</v>
      </c>
      <c r="P61" s="8" t="n">
        <v>0.312296228165392</v>
      </c>
      <c r="Q61" s="8" t="n">
        <v>3.93920701419131</v>
      </c>
      <c r="R61" s="8" t="n">
        <v>1.06673045119665</v>
      </c>
      <c r="S61" s="8" t="n">
        <v>1455.3273714841</v>
      </c>
      <c r="T61" s="8" t="n">
        <v>1.12735465625849</v>
      </c>
      <c r="U61" s="8" t="n">
        <v>3.13240510387813</v>
      </c>
      <c r="V61" s="8" t="n">
        <v>0.869039065162688</v>
      </c>
      <c r="W61" s="8" t="n">
        <v>0.594870570472007</v>
      </c>
      <c r="X61" s="8" t="n">
        <v>78.7672183683611</v>
      </c>
      <c r="Y61" s="8" t="n">
        <v>0.219054958447535</v>
      </c>
      <c r="Z61" s="8" t="n">
        <v>-0.00433578684732399</v>
      </c>
      <c r="AA61" s="8" t="n">
        <v>0.00677316362318734</v>
      </c>
      <c r="AB61" s="8" t="n">
        <v>0.103388835104964</v>
      </c>
      <c r="AC61" s="8" t="n">
        <v>0.0647482193958127</v>
      </c>
      <c r="AD61" s="8" t="n">
        <v>0.238128577566064</v>
      </c>
      <c r="AE61" s="8" t="n">
        <v>186.819558809425</v>
      </c>
      <c r="AF61" s="8" t="n">
        <v>0.269849939376077</v>
      </c>
      <c r="AG61" s="8" t="n">
        <v>0.586022576939746</v>
      </c>
      <c r="AH61" s="8" t="n">
        <v>0.107900781484612</v>
      </c>
      <c r="AI61" s="8" t="n">
        <v>0.00160571381931278</v>
      </c>
      <c r="AJ61" s="8" t="n">
        <v>0.404521669077595</v>
      </c>
      <c r="AK61" s="8" t="n">
        <v>0.0509235871109475</v>
      </c>
      <c r="AL61" s="8" t="n">
        <v>0.583534311819918</v>
      </c>
    </row>
    <row r="62" customFormat="false" ht="15" hidden="false" customHeight="false" outlineLevel="0" collapsed="false">
      <c r="A62" s="2" t="s">
        <v>98</v>
      </c>
      <c r="B62" s="3" t="n">
        <v>12</v>
      </c>
      <c r="C62" s="4" t="n">
        <v>0</v>
      </c>
      <c r="D62" s="5" t="n">
        <v>72582.2329630842</v>
      </c>
      <c r="E62" s="6" t="n">
        <v>0.441700569059128</v>
      </c>
      <c r="F62" s="6" t="n">
        <v>3.93323961250625</v>
      </c>
      <c r="G62" s="7" t="n">
        <f aca="false">(F62/58.6934)/(D62/40.078)*1000000</f>
        <v>37.0029928885899</v>
      </c>
      <c r="H62" s="7" t="n">
        <f aca="false">(E62/58.9332)/(D62/40.078)*1000000</f>
        <v>4.13850659257399</v>
      </c>
      <c r="I62" s="8" t="n">
        <v>771.211966069506</v>
      </c>
      <c r="J62" s="8" t="n">
        <v>6295.75076108861</v>
      </c>
      <c r="K62" s="8" t="n">
        <v>38539.6108069991</v>
      </c>
      <c r="L62" s="8" t="n">
        <v>1013.95922823155</v>
      </c>
      <c r="M62" s="8" t="n">
        <v>40.3917234342029</v>
      </c>
      <c r="N62" s="8" t="n">
        <v>1000.51642797523</v>
      </c>
      <c r="O62" s="8" t="n">
        <v>12.8199452756817</v>
      </c>
      <c r="P62" s="8" t="n">
        <v>0.301229552738545</v>
      </c>
      <c r="Q62" s="8" t="n">
        <v>3.96264106820454</v>
      </c>
      <c r="R62" s="8" t="n">
        <v>0.619723800992548</v>
      </c>
      <c r="S62" s="8" t="n">
        <v>1422.5946387642</v>
      </c>
      <c r="T62" s="8" t="n">
        <v>0.898594126658846</v>
      </c>
      <c r="U62" s="8" t="n">
        <v>6.06022146612332</v>
      </c>
      <c r="V62" s="8" t="n">
        <v>0.984756429640097</v>
      </c>
      <c r="W62" s="8" t="n">
        <v>0.494758378763095</v>
      </c>
      <c r="X62" s="8" t="n">
        <v>76.6604314403999</v>
      </c>
      <c r="Y62" s="8" t="n">
        <v>0.214062081365958</v>
      </c>
      <c r="Z62" s="8" t="n">
        <v>-0.000940841565735048</v>
      </c>
      <c r="AA62" s="8" t="n">
        <v>0.00685729216778279</v>
      </c>
      <c r="AB62" s="8" t="n">
        <v>0.110511392232674</v>
      </c>
      <c r="AC62" s="8" t="n">
        <v>0.0445139957259628</v>
      </c>
      <c r="AD62" s="8" t="n">
        <v>0.253166522889806</v>
      </c>
      <c r="AE62" s="8" t="n">
        <v>189.553720325207</v>
      </c>
      <c r="AF62" s="8" t="n">
        <v>0.249435222724277</v>
      </c>
      <c r="AG62" s="8" t="n">
        <v>0.57276000774701</v>
      </c>
      <c r="AH62" s="8" t="n">
        <v>0.173872026212265</v>
      </c>
      <c r="AI62" s="8" t="n">
        <v>-4.50847354053552E-005</v>
      </c>
      <c r="AJ62" s="8" t="n">
        <v>0.482459999848129</v>
      </c>
      <c r="AK62" s="8" t="n">
        <v>0.0684691941040094</v>
      </c>
      <c r="AL62" s="8" t="n">
        <v>0.570036429434283</v>
      </c>
    </row>
    <row r="63" customFormat="false" ht="15" hidden="false" customHeight="false" outlineLevel="0" collapsed="false">
      <c r="A63" s="2" t="s">
        <v>99</v>
      </c>
      <c r="B63" s="3" t="n">
        <v>10</v>
      </c>
      <c r="C63" s="4" t="n">
        <v>0</v>
      </c>
      <c r="D63" s="5" t="n">
        <v>62078.8920928154</v>
      </c>
      <c r="E63" s="6" t="n">
        <v>0.396751387558171</v>
      </c>
      <c r="F63" s="6" t="n">
        <v>3.68878618247428</v>
      </c>
      <c r="G63" s="7" t="n">
        <f aca="false">(F63/58.6934)/(D63/40.078)*1000000</f>
        <v>40.5747915806474</v>
      </c>
      <c r="H63" s="7" t="n">
        <f aca="false">(E63/58.9332)/(D63/40.078)*1000000</f>
        <v>4.34630815035158</v>
      </c>
      <c r="I63" s="8" t="n">
        <v>669.597051869299</v>
      </c>
      <c r="J63" s="8" t="n">
        <v>5882.22544115256</v>
      </c>
      <c r="K63" s="8" t="n">
        <v>33119.6723410929</v>
      </c>
      <c r="L63" s="8" t="n">
        <v>1010.32227677646</v>
      </c>
      <c r="M63" s="8" t="n">
        <v>20.1524616443156</v>
      </c>
      <c r="N63" s="8" t="n">
        <v>1040.43944810965</v>
      </c>
      <c r="O63" s="8" t="n">
        <v>16.3084650404563</v>
      </c>
      <c r="P63" s="8" t="n">
        <v>0.267516097145971</v>
      </c>
      <c r="Q63" s="8" t="n">
        <v>4.15010078249437</v>
      </c>
      <c r="R63" s="8" t="n">
        <v>0.923013831998968</v>
      </c>
      <c r="S63" s="8" t="n">
        <v>1283.77814484494</v>
      </c>
      <c r="T63" s="8" t="n">
        <v>1.40970448531691</v>
      </c>
      <c r="U63" s="8" t="n">
        <v>6.0272218611969</v>
      </c>
      <c r="V63" s="8" t="n">
        <v>0.879323579263948</v>
      </c>
      <c r="W63" s="8" t="n">
        <v>0.607766876892</v>
      </c>
      <c r="X63" s="8" t="n">
        <v>74.089248194231</v>
      </c>
      <c r="Y63" s="8" t="n">
        <v>0.211795799158508</v>
      </c>
      <c r="Z63" s="8" t="n">
        <v>-0.00424389412071617</v>
      </c>
      <c r="AA63" s="8" t="n">
        <v>0.00735949491786349</v>
      </c>
      <c r="AB63" s="8" t="n">
        <v>0.237191040811513</v>
      </c>
      <c r="AC63" s="8" t="n">
        <v>0.0658915512374854</v>
      </c>
      <c r="AD63" s="8" t="n">
        <v>0.219442934756164</v>
      </c>
      <c r="AE63" s="8" t="n">
        <v>171.813048562938</v>
      </c>
      <c r="AF63" s="8" t="n">
        <v>0.235847089052821</v>
      </c>
      <c r="AG63" s="8" t="n">
        <v>0.546603158675446</v>
      </c>
      <c r="AH63" s="8" t="n">
        <v>0.112019945924434</v>
      </c>
      <c r="AI63" s="8" t="n">
        <v>-0.00123597173673142</v>
      </c>
      <c r="AJ63" s="8" t="n">
        <v>0.470500232401803</v>
      </c>
      <c r="AK63" s="8" t="n">
        <v>0.0525955341852096</v>
      </c>
      <c r="AL63" s="8" t="n">
        <v>0.572242334618442</v>
      </c>
    </row>
    <row r="64" customFormat="false" ht="15" hidden="false" customHeight="false" outlineLevel="0" collapsed="false">
      <c r="A64" s="2" t="s">
        <v>100</v>
      </c>
      <c r="B64" s="3" t="n">
        <v>10</v>
      </c>
      <c r="C64" s="4" t="n">
        <v>0</v>
      </c>
      <c r="D64" s="5" t="n">
        <v>66013.7834136066</v>
      </c>
      <c r="E64" s="6" t="n">
        <v>0.416429092548432</v>
      </c>
      <c r="F64" s="6" t="n">
        <v>3.56423495411722</v>
      </c>
      <c r="G64" s="7" t="n">
        <f aca="false">(F64/58.6934)/(D64/40.078)*1000000</f>
        <v>36.8679061959185</v>
      </c>
      <c r="H64" s="7" t="n">
        <f aca="false">(E64/58.9332)/(D64/40.078)*1000000</f>
        <v>4.28995222944832</v>
      </c>
      <c r="I64" s="8" t="n">
        <v>685.073406031553</v>
      </c>
      <c r="J64" s="8" t="n">
        <v>5609.2970388412</v>
      </c>
      <c r="K64" s="8" t="n">
        <v>33227.843614839</v>
      </c>
      <c r="L64" s="8" t="n">
        <v>1005.0485701433</v>
      </c>
      <c r="M64" s="8" t="n">
        <v>27.8540027127617</v>
      </c>
      <c r="N64" s="8" t="n">
        <v>875.143808019336</v>
      </c>
      <c r="O64" s="8" t="n">
        <v>12.2951621976217</v>
      </c>
      <c r="P64" s="8" t="n">
        <v>0.236373007453833</v>
      </c>
      <c r="Q64" s="8" t="n">
        <v>3.70562693701127</v>
      </c>
      <c r="R64" s="8" t="n">
        <v>0.468283469594279</v>
      </c>
      <c r="S64" s="8" t="n">
        <v>1351.12343272487</v>
      </c>
      <c r="T64" s="8" t="n">
        <v>0.841458976896627</v>
      </c>
      <c r="U64" s="8" t="n">
        <v>2.1537252695739</v>
      </c>
      <c r="V64" s="8" t="n">
        <v>0.8995186476614</v>
      </c>
      <c r="W64" s="8" t="n">
        <v>0.470920306569575</v>
      </c>
      <c r="X64" s="8" t="n">
        <v>74.3990225854436</v>
      </c>
      <c r="Y64" s="8" t="n">
        <v>0.209729235011677</v>
      </c>
      <c r="Z64" s="8" t="n">
        <v>-0.00624203048027072</v>
      </c>
      <c r="AA64" s="8" t="n">
        <v>0.00774287040512595</v>
      </c>
      <c r="AB64" s="8" t="n">
        <v>0.0973812705767405</v>
      </c>
      <c r="AC64" s="8" t="n">
        <v>0.0298114614261101</v>
      </c>
      <c r="AD64" s="8" t="n">
        <v>0.234652667176586</v>
      </c>
      <c r="AE64" s="8" t="n">
        <v>172.939821857616</v>
      </c>
      <c r="AF64" s="8" t="n">
        <v>0.243851688665859</v>
      </c>
      <c r="AG64" s="8" t="n">
        <v>0.550514935079311</v>
      </c>
      <c r="AH64" s="8" t="n">
        <v>0.162410737987809</v>
      </c>
      <c r="AI64" s="8" t="n">
        <v>0.000240903503428395</v>
      </c>
      <c r="AJ64" s="8" t="n">
        <v>0.287306482919712</v>
      </c>
      <c r="AK64" s="8" t="n">
        <v>0.0677756840973842</v>
      </c>
      <c r="AL64" s="8" t="n">
        <v>0.567831910873657</v>
      </c>
    </row>
    <row r="65" customFormat="false" ht="15" hidden="false" customHeight="false" outlineLevel="0" collapsed="false">
      <c r="A65" s="2" t="s">
        <v>101</v>
      </c>
      <c r="B65" s="3" t="n">
        <v>9.5</v>
      </c>
      <c r="C65" s="4" t="n">
        <v>0</v>
      </c>
      <c r="D65" s="5" t="n">
        <v>63062.0024312487</v>
      </c>
      <c r="E65" s="6" t="n">
        <v>0.428434475321183</v>
      </c>
      <c r="F65" s="6" t="n">
        <v>6.34903654005036</v>
      </c>
      <c r="G65" s="7" t="n">
        <f aca="false">(F65/58.6934)/(D65/40.078)*1000000</f>
        <v>68.7474893504217</v>
      </c>
      <c r="H65" s="7" t="n">
        <f aca="false">(E65/58.9332)/(D65/40.078)*1000000</f>
        <v>4.62022016255386</v>
      </c>
      <c r="I65" s="8" t="n">
        <v>422.81408128586</v>
      </c>
      <c r="J65" s="8" t="n">
        <v>5155.89112333544</v>
      </c>
      <c r="K65" s="8" t="n">
        <v>29697.2653383314</v>
      </c>
      <c r="L65" s="8" t="n">
        <v>1009.45425970381</v>
      </c>
      <c r="M65" s="8" t="n">
        <v>20.113944035584</v>
      </c>
      <c r="N65" s="8" t="n">
        <v>688.350907846466</v>
      </c>
      <c r="O65" s="8" t="n">
        <v>12.4954541960599</v>
      </c>
      <c r="P65" s="8" t="n">
        <v>0.217027895099993</v>
      </c>
      <c r="Q65" s="8" t="n">
        <v>3.55888118355741</v>
      </c>
      <c r="R65" s="8" t="n">
        <v>0.797529277874314</v>
      </c>
      <c r="S65" s="8" t="n">
        <v>1385.94748128615</v>
      </c>
      <c r="T65" s="8" t="n">
        <v>0.919039303598258</v>
      </c>
      <c r="U65" s="8" t="n">
        <v>3.18286156791511</v>
      </c>
      <c r="V65" s="8" t="n">
        <v>0.817482905831615</v>
      </c>
      <c r="W65" s="8" t="n">
        <v>0.397070269370556</v>
      </c>
      <c r="X65" s="8" t="n">
        <v>66.5783135705626</v>
      </c>
      <c r="Y65" s="8" t="n">
        <v>0.217083068169776</v>
      </c>
      <c r="Z65" s="8" t="n">
        <v>-0.0144171566713074</v>
      </c>
      <c r="AA65" s="8" t="n">
        <v>0.00541064627139197</v>
      </c>
      <c r="AB65" s="8" t="n">
        <v>0.133242029420389</v>
      </c>
      <c r="AC65" s="8" t="n">
        <v>0.0629119964194611</v>
      </c>
      <c r="AD65" s="8" t="n">
        <v>0.224451559170193</v>
      </c>
      <c r="AE65" s="8" t="n">
        <v>156.148590704164</v>
      </c>
      <c r="AF65" s="8" t="n">
        <v>0.247380164226766</v>
      </c>
      <c r="AG65" s="8" t="n">
        <v>0.577189799453064</v>
      </c>
      <c r="AH65" s="8" t="n">
        <v>0.170431467613358</v>
      </c>
      <c r="AI65" s="8" t="n">
        <v>-0.000469076875974032</v>
      </c>
      <c r="AJ65" s="8" t="n">
        <v>0.443541352104219</v>
      </c>
      <c r="AK65" s="8" t="n">
        <v>0.081084512488198</v>
      </c>
      <c r="AL65" s="8" t="n">
        <v>0.507210442212993</v>
      </c>
    </row>
    <row r="66" customFormat="false" ht="15" hidden="false" customHeight="false" outlineLevel="0" collapsed="false">
      <c r="A66" s="2" t="s">
        <v>102</v>
      </c>
      <c r="B66" s="3" t="n">
        <v>9.5</v>
      </c>
      <c r="C66" s="4" t="n">
        <v>0</v>
      </c>
      <c r="D66" s="5" t="n">
        <v>65052.7421829523</v>
      </c>
      <c r="E66" s="6" t="n">
        <v>0.439607458730202</v>
      </c>
      <c r="F66" s="6" t="n">
        <v>3.5670681507609</v>
      </c>
      <c r="G66" s="7" t="n">
        <f aca="false">(F66/58.6934)/(D66/40.078)*1000000</f>
        <v>37.4423045528455</v>
      </c>
      <c r="H66" s="7" t="n">
        <f aca="false">(E66/58.9332)/(D66/40.078)*1000000</f>
        <v>4.59563429544561</v>
      </c>
      <c r="I66" s="8" t="n">
        <v>748.206367505786</v>
      </c>
      <c r="J66" s="8" t="n">
        <v>5715.3969769592</v>
      </c>
      <c r="K66" s="8" t="n">
        <v>32661.6508242473</v>
      </c>
      <c r="L66" s="8" t="n">
        <v>1008.38897229757</v>
      </c>
      <c r="M66" s="8" t="n">
        <v>27.8949438025785</v>
      </c>
      <c r="N66" s="8" t="n">
        <v>856.494171728019</v>
      </c>
      <c r="O66" s="8" t="n">
        <v>12.8056194527559</v>
      </c>
      <c r="P66" s="8" t="n">
        <v>0.235804568517308</v>
      </c>
      <c r="Q66" s="8" t="n">
        <v>3.57934450943666</v>
      </c>
      <c r="R66" s="8" t="n">
        <v>0.687163897670402</v>
      </c>
      <c r="S66" s="8" t="n">
        <v>1372.44166136761</v>
      </c>
      <c r="T66" s="8" t="n">
        <v>3.00187596065003</v>
      </c>
      <c r="U66" s="8" t="n">
        <v>1.86969668586264</v>
      </c>
      <c r="V66" s="8" t="n">
        <v>0.983467746904901</v>
      </c>
      <c r="W66" s="8" t="n">
        <v>0.459331354411176</v>
      </c>
      <c r="X66" s="8" t="n">
        <v>73.2865570415173</v>
      </c>
      <c r="Y66" s="8" t="n">
        <v>0.21896157281431</v>
      </c>
      <c r="Z66" s="8" t="n">
        <v>-0.00690701163626956</v>
      </c>
      <c r="AA66" s="8" t="n">
        <v>0.00588822722572131</v>
      </c>
      <c r="AB66" s="8" t="n">
        <v>0.154857107600801</v>
      </c>
      <c r="AC66" s="8" t="n">
        <v>0.0356729700927122</v>
      </c>
      <c r="AD66" s="8" t="n">
        <v>0.222470571847673</v>
      </c>
      <c r="AE66" s="8" t="n">
        <v>171.916354126671</v>
      </c>
      <c r="AF66" s="8" t="n">
        <v>0.245883858250565</v>
      </c>
      <c r="AG66" s="8" t="n">
        <v>0.572428191581094</v>
      </c>
      <c r="AH66" s="8" t="n">
        <v>0.164104258785871</v>
      </c>
      <c r="AI66" s="8" t="n">
        <v>0.000410967632676995</v>
      </c>
      <c r="AJ66" s="8" t="n">
        <v>0.299711326496165</v>
      </c>
      <c r="AK66" s="8" t="n">
        <v>0.0701062846451164</v>
      </c>
      <c r="AL66" s="8" t="n">
        <v>0.547215498153757</v>
      </c>
    </row>
    <row r="67" customFormat="false" ht="15" hidden="false" customHeight="false" outlineLevel="0" collapsed="false">
      <c r="A67" s="2" t="s">
        <v>103</v>
      </c>
      <c r="B67" s="3" t="n">
        <v>10</v>
      </c>
      <c r="C67" s="4" t="n">
        <v>0</v>
      </c>
      <c r="D67" s="5" t="n">
        <v>60109.3129645788</v>
      </c>
      <c r="E67" s="6" t="n">
        <v>0.451610440046238</v>
      </c>
      <c r="F67" s="6" t="n">
        <v>3.48947153504987</v>
      </c>
      <c r="G67" s="7" t="n">
        <f aca="false">(F67/58.6934)/(D67/40.078)*1000000</f>
        <v>39.6400933615357</v>
      </c>
      <c r="H67" s="7" t="n">
        <f aca="false">(E67/58.9332)/(D67/40.078)*1000000</f>
        <v>5.10938026914404</v>
      </c>
      <c r="I67" s="8" t="n">
        <v>745.907364608325</v>
      </c>
      <c r="J67" s="8" t="n">
        <v>5946.3855242562</v>
      </c>
      <c r="K67" s="8" t="n">
        <v>33274.2415386467</v>
      </c>
      <c r="L67" s="8" t="n">
        <v>1063.6981215418</v>
      </c>
      <c r="M67" s="8" t="n">
        <v>20.0164094961323</v>
      </c>
      <c r="N67" s="8" t="n">
        <v>1075.42751377988</v>
      </c>
      <c r="O67" s="8" t="n">
        <v>18.3639381618038</v>
      </c>
      <c r="P67" s="8" t="n">
        <v>0.230605707889454</v>
      </c>
      <c r="Q67" s="8" t="n">
        <v>3.66465782831114</v>
      </c>
      <c r="R67" s="8" t="n">
        <v>0.651300723008278</v>
      </c>
      <c r="S67" s="8" t="n">
        <v>1252.14224232166</v>
      </c>
      <c r="T67" s="8" t="n">
        <v>1.17843925903311</v>
      </c>
      <c r="U67" s="8" t="n">
        <v>2.28082271770851</v>
      </c>
      <c r="V67" s="8" t="n">
        <v>0.861201096132138</v>
      </c>
      <c r="W67" s="8" t="n">
        <v>0.580157068785671</v>
      </c>
      <c r="X67" s="8" t="n">
        <v>73.0142518767798</v>
      </c>
      <c r="Y67" s="8" t="n">
        <v>0.219587283700738</v>
      </c>
      <c r="Z67" s="8" t="n">
        <v>-0.0198256468573007</v>
      </c>
      <c r="AA67" s="8" t="n">
        <v>0.00652369295791977</v>
      </c>
      <c r="AB67" s="8" t="n">
        <v>0.163889023687735</v>
      </c>
      <c r="AC67" s="8" t="n">
        <v>0.0402062415502364</v>
      </c>
      <c r="AD67" s="8" t="n">
        <v>0.259134675942786</v>
      </c>
      <c r="AE67" s="8" t="n">
        <v>168.103244580857</v>
      </c>
      <c r="AF67" s="8" t="n">
        <v>0.260460748911998</v>
      </c>
      <c r="AG67" s="8" t="n">
        <v>0.591709296687684</v>
      </c>
      <c r="AH67" s="8" t="n">
        <v>0.130562862134832</v>
      </c>
      <c r="AI67" s="8" t="n">
        <v>-0.00130624403783807</v>
      </c>
      <c r="AJ67" s="8" t="n">
        <v>0.40050690434935</v>
      </c>
      <c r="AK67" s="8" t="n">
        <v>0.0499477571334152</v>
      </c>
      <c r="AL67" s="8" t="n">
        <v>0.567667307309031</v>
      </c>
    </row>
    <row r="68" customFormat="false" ht="15" hidden="false" customHeight="false" outlineLevel="0" collapsed="false">
      <c r="A68" s="2" t="s">
        <v>104</v>
      </c>
      <c r="B68" s="3" t="n">
        <v>11</v>
      </c>
      <c r="C68" s="4" t="n">
        <v>0</v>
      </c>
      <c r="D68" s="5" t="n">
        <v>67236.9831514487</v>
      </c>
      <c r="E68" s="6" t="n">
        <v>0.430278387883758</v>
      </c>
      <c r="F68" s="6" t="n">
        <v>3.51397805683003</v>
      </c>
      <c r="G68" s="7" t="n">
        <f aca="false">(F68/58.6934)/(D68/40.078)*1000000</f>
        <v>35.686799357282</v>
      </c>
      <c r="H68" s="7" t="n">
        <f aca="false">(E68/58.9332)/(D68/40.078)*1000000</f>
        <v>4.35198441515516</v>
      </c>
      <c r="I68" s="8" t="n">
        <v>672.81024988519</v>
      </c>
      <c r="J68" s="8" t="n">
        <v>5407.98045677755</v>
      </c>
      <c r="K68" s="8" t="n">
        <v>33492.9176382245</v>
      </c>
      <c r="L68" s="8" t="n">
        <v>893.228738897102</v>
      </c>
      <c r="M68" s="8" t="n">
        <v>21.6223674330069</v>
      </c>
      <c r="N68" s="8" t="n">
        <v>931.90564859088</v>
      </c>
      <c r="O68" s="8" t="n">
        <v>11.5688909413928</v>
      </c>
      <c r="P68" s="8" t="n">
        <v>0.248051754055892</v>
      </c>
      <c r="Q68" s="8" t="n">
        <v>3.45600068629454</v>
      </c>
      <c r="R68" s="8" t="n">
        <v>0.529491597310842</v>
      </c>
      <c r="S68" s="8" t="n">
        <v>1396.47622127736</v>
      </c>
      <c r="T68" s="8" t="n">
        <v>0.775687191848654</v>
      </c>
      <c r="U68" s="8" t="n">
        <v>5.34637859955389</v>
      </c>
      <c r="V68" s="8" t="n">
        <v>0.904379461185437</v>
      </c>
      <c r="W68" s="8" t="n">
        <v>0.465365348257077</v>
      </c>
      <c r="X68" s="8" t="n">
        <v>76.4288205593954</v>
      </c>
      <c r="Y68" s="8" t="n">
        <v>0.188925919101562</v>
      </c>
      <c r="Z68" s="8" t="n">
        <v>-0.0262096352472822</v>
      </c>
      <c r="AA68" s="8" t="n">
        <v>0.00177378764178633</v>
      </c>
      <c r="AB68" s="8" t="n">
        <v>0.206745424975783</v>
      </c>
      <c r="AC68" s="8" t="n">
        <v>0.0331189383054397</v>
      </c>
      <c r="AD68" s="8" t="n">
        <v>0.205430669731705</v>
      </c>
      <c r="AE68" s="8" t="n">
        <v>181.03768040591</v>
      </c>
      <c r="AF68" s="8" t="n">
        <v>0.213481413509313</v>
      </c>
      <c r="AG68" s="8" t="n">
        <v>0.493881680644814</v>
      </c>
      <c r="AH68" s="8" t="n">
        <v>0.154421947291519</v>
      </c>
      <c r="AI68" s="8" t="n">
        <v>-0.00128047653444282</v>
      </c>
      <c r="AJ68" s="8" t="n">
        <v>0.252054719595923</v>
      </c>
      <c r="AK68" s="8" t="n">
        <v>0.0576828646847</v>
      </c>
      <c r="AL68" s="8" t="n">
        <v>0.567200461206915</v>
      </c>
    </row>
    <row r="69" customFormat="false" ht="15" hidden="false" customHeight="false" outlineLevel="0" collapsed="false">
      <c r="A69" s="2" t="s">
        <v>105</v>
      </c>
      <c r="B69" s="3" t="n">
        <v>13</v>
      </c>
      <c r="C69" s="4" t="n">
        <v>0</v>
      </c>
      <c r="D69" s="5" t="n">
        <v>71434.2416094261</v>
      </c>
      <c r="E69" s="6" t="n">
        <v>0.474935422815245</v>
      </c>
      <c r="F69" s="6" t="n">
        <v>4.51324888773343</v>
      </c>
      <c r="G69" s="7" t="n">
        <f aca="false">(F69/58.6934)/(D69/40.078)*1000000</f>
        <v>43.1419348119026</v>
      </c>
      <c r="H69" s="7" t="n">
        <f aca="false">(E69/58.9332)/(D69/40.078)*1000000</f>
        <v>4.52141261435802</v>
      </c>
      <c r="I69" s="8" t="n">
        <v>641.755587332845</v>
      </c>
      <c r="J69" s="8" t="n">
        <v>5649.75864487246</v>
      </c>
      <c r="K69" s="8" t="n">
        <v>34279.78827103</v>
      </c>
      <c r="L69" s="8" t="n">
        <v>937.060604751247</v>
      </c>
      <c r="M69" s="8" t="n">
        <v>65.167182588011</v>
      </c>
      <c r="N69" s="8" t="n">
        <v>1023.41845829492</v>
      </c>
      <c r="O69" s="8" t="n">
        <v>16.5818413953699</v>
      </c>
      <c r="P69" s="8" t="n">
        <v>0.301246906416497</v>
      </c>
      <c r="Q69" s="8" t="n">
        <v>3.48879472147431</v>
      </c>
      <c r="R69" s="8" t="n">
        <v>2.31665716916352</v>
      </c>
      <c r="S69" s="8" t="n">
        <v>1484.12913765385</v>
      </c>
      <c r="T69" s="8" t="n">
        <v>1.37590005877648</v>
      </c>
      <c r="U69" s="8" t="n">
        <v>4.01105572028562</v>
      </c>
      <c r="V69" s="8" t="n">
        <v>1.10242017907701</v>
      </c>
      <c r="W69" s="8" t="n">
        <v>0.608280913804582</v>
      </c>
      <c r="X69" s="8" t="n">
        <v>80.8833889459666</v>
      </c>
      <c r="Y69" s="8" t="n">
        <v>0.206563829246147</v>
      </c>
      <c r="Z69" s="8" t="n">
        <v>-0.027965013079764</v>
      </c>
      <c r="AA69" s="8" t="n">
        <v>0.00179602086558219</v>
      </c>
      <c r="AB69" s="8" t="n">
        <v>0.102154119418555</v>
      </c>
      <c r="AC69" s="8" t="n">
        <v>0.0650577083707545</v>
      </c>
      <c r="AD69" s="8" t="n">
        <v>0.215061568497308</v>
      </c>
      <c r="AE69" s="8" t="n">
        <v>199.54309724108</v>
      </c>
      <c r="AF69" s="8" t="n">
        <v>0.251248391685397</v>
      </c>
      <c r="AG69" s="8" t="n">
        <v>0.569980316461992</v>
      </c>
      <c r="AH69" s="8" t="n">
        <v>0.0114790476658913</v>
      </c>
      <c r="AI69" s="8" t="n">
        <v>-0.00193622656998326</v>
      </c>
      <c r="AJ69" s="8" t="n">
        <v>0.514736318577016</v>
      </c>
      <c r="AK69" s="8" t="n">
        <v>-0.00625191766617634</v>
      </c>
      <c r="AL69" s="8" t="n">
        <v>0.581626500189602</v>
      </c>
    </row>
    <row r="70" customFormat="false" ht="15" hidden="false" customHeight="false" outlineLevel="0" collapsed="false">
      <c r="A70" s="2" t="s">
        <v>106</v>
      </c>
      <c r="B70" s="3" t="n">
        <v>17</v>
      </c>
      <c r="C70" s="4" t="n">
        <v>0</v>
      </c>
      <c r="D70" s="5" t="n">
        <v>70198.9661987118</v>
      </c>
      <c r="E70" s="6" t="n">
        <v>0.437227287565929</v>
      </c>
      <c r="F70" s="6" t="n">
        <v>3.84845459570859</v>
      </c>
      <c r="G70" s="7" t="n">
        <f aca="false">(F70/58.6934)/(D70/40.078)*1000000</f>
        <v>37.4345333317973</v>
      </c>
      <c r="H70" s="7" t="n">
        <f aca="false">(E70/58.9332)/(D70/40.078)*1000000</f>
        <v>4.23567431845353</v>
      </c>
      <c r="I70" s="8" t="n">
        <v>495.607259025927</v>
      </c>
      <c r="J70" s="8" t="n">
        <v>4037.75387718778</v>
      </c>
      <c r="K70" s="8" t="n">
        <v>35099.6103899846</v>
      </c>
      <c r="L70" s="8" t="n">
        <v>516.010154525392</v>
      </c>
      <c r="M70" s="8" t="n">
        <v>11.9324961053488</v>
      </c>
      <c r="N70" s="8" t="n">
        <v>948.200743591696</v>
      </c>
      <c r="O70" s="8" t="n">
        <v>8.22119890661329</v>
      </c>
      <c r="P70" s="8" t="n">
        <v>0.261687194193466</v>
      </c>
      <c r="Q70" s="8" t="n">
        <v>0.785058955161063</v>
      </c>
      <c r="R70" s="8" t="n">
        <v>0.154084514248471</v>
      </c>
      <c r="S70" s="8" t="n">
        <v>1453.49586085332</v>
      </c>
      <c r="T70" s="8" t="n">
        <v>0.362805880652124</v>
      </c>
      <c r="U70" s="8" t="n">
        <v>0.920079708784137</v>
      </c>
      <c r="V70" s="8" t="n">
        <v>0.700628141050275</v>
      </c>
      <c r="W70" s="8" t="n">
        <v>0.362276651488102</v>
      </c>
      <c r="X70" s="8" t="n">
        <v>81.3797820184987</v>
      </c>
      <c r="Y70" s="8" t="n">
        <v>0.0862168106490253</v>
      </c>
      <c r="Z70" s="8" t="n">
        <v>-0.0300759430164151</v>
      </c>
      <c r="AA70" s="8" t="n">
        <v>0.000711582944893698</v>
      </c>
      <c r="AB70" s="8" t="n">
        <v>0.00755237764707354</v>
      </c>
      <c r="AC70" s="8" t="n">
        <v>0.0211099725149857</v>
      </c>
      <c r="AD70" s="8" t="n">
        <v>0.111930683273591</v>
      </c>
      <c r="AE70" s="8" t="n">
        <v>204.673448866329</v>
      </c>
      <c r="AF70" s="8" t="n">
        <v>0.0600148772470807</v>
      </c>
      <c r="AG70" s="8" t="n">
        <v>0.106765715810046</v>
      </c>
      <c r="AH70" s="8" t="n">
        <v>0.14747759965525</v>
      </c>
      <c r="AI70" s="8" t="n">
        <v>-0.00103106496836918</v>
      </c>
      <c r="AJ70" s="8" t="n">
        <v>0.110640534604181</v>
      </c>
      <c r="AK70" s="8" t="n">
        <v>0.000169316896651141</v>
      </c>
      <c r="AL70" s="8" t="n">
        <v>0.567192363383735</v>
      </c>
    </row>
    <row r="71" customFormat="false" ht="15" hidden="false" customHeight="false" outlineLevel="0" collapsed="false">
      <c r="A71" s="2" t="s">
        <v>107</v>
      </c>
      <c r="B71" s="3" t="n">
        <v>12</v>
      </c>
      <c r="C71" s="4" t="n">
        <v>0</v>
      </c>
      <c r="D71" s="5" t="n">
        <v>68339.7249628842</v>
      </c>
      <c r="E71" s="6" t="n">
        <v>0.496969283604135</v>
      </c>
      <c r="F71" s="6" t="n">
        <v>3.4896912515371</v>
      </c>
      <c r="G71" s="7" t="n">
        <f aca="false">(F71/58.6934)/(D71/40.078)*1000000</f>
        <v>34.8682820945004</v>
      </c>
      <c r="H71" s="7" t="n">
        <f aca="false">(E71/58.9332)/(D71/40.078)*1000000</f>
        <v>4.94541040061537</v>
      </c>
      <c r="I71" s="8" t="n">
        <v>568.190501629291</v>
      </c>
      <c r="J71" s="8" t="n">
        <v>4306.98959839111</v>
      </c>
      <c r="K71" s="8" t="n">
        <v>33911.9196903716</v>
      </c>
      <c r="L71" s="8" t="n">
        <v>603.746717805496</v>
      </c>
      <c r="M71" s="8" t="n">
        <v>25.2708985146398</v>
      </c>
      <c r="N71" s="8" t="n">
        <v>931.188573744552</v>
      </c>
      <c r="O71" s="8" t="n">
        <v>8.99854226089445</v>
      </c>
      <c r="P71" s="8" t="n">
        <v>0.253446005962571</v>
      </c>
      <c r="Q71" s="8" t="n">
        <v>1.09939069271369</v>
      </c>
      <c r="R71" s="8" t="n">
        <v>0.481776026341358</v>
      </c>
      <c r="S71" s="8" t="n">
        <v>1406.29776642299</v>
      </c>
      <c r="T71" s="8" t="n">
        <v>0.45562851915499</v>
      </c>
      <c r="U71" s="8" t="n">
        <v>1.14440249618375</v>
      </c>
      <c r="V71" s="8" t="n">
        <v>0.8628108851393</v>
      </c>
      <c r="W71" s="8" t="n">
        <v>0.347110558839723</v>
      </c>
      <c r="X71" s="8" t="n">
        <v>79.5240399083486</v>
      </c>
      <c r="Y71" s="8" t="n">
        <v>0.096757701792303</v>
      </c>
      <c r="Z71" s="8" t="n">
        <v>-0.0281153470994019</v>
      </c>
      <c r="AA71" s="8" t="n">
        <v>0.00455973581127695</v>
      </c>
      <c r="AB71" s="8" t="n">
        <v>0.011257319661259</v>
      </c>
      <c r="AC71" s="8" t="n">
        <v>0.0219131725876001</v>
      </c>
      <c r="AD71" s="8" t="n">
        <v>0.125249654650699</v>
      </c>
      <c r="AE71" s="8" t="n">
        <v>195.299761940595</v>
      </c>
      <c r="AF71" s="8" t="n">
        <v>0.07233527721696</v>
      </c>
      <c r="AG71" s="8" t="n">
        <v>0.143727490578208</v>
      </c>
      <c r="AH71" s="8" t="n">
        <v>0.141728755310184</v>
      </c>
      <c r="AI71" s="8" t="n">
        <v>-0.00206049942278165</v>
      </c>
      <c r="AJ71" s="8" t="n">
        <v>0.165487304942129</v>
      </c>
      <c r="AK71" s="8" t="n">
        <v>0.00498879204469847</v>
      </c>
      <c r="AL71" s="8" t="n">
        <v>0.549860066320105</v>
      </c>
    </row>
    <row r="72" customFormat="false" ht="15" hidden="false" customHeight="false" outlineLevel="0" collapsed="false">
      <c r="A72" s="2" t="s">
        <v>108</v>
      </c>
      <c r="B72" s="3" t="n">
        <v>11</v>
      </c>
      <c r="C72" s="4" t="n">
        <v>0</v>
      </c>
      <c r="D72" s="5" t="n">
        <v>69515.8721407417</v>
      </c>
      <c r="E72" s="6" t="n">
        <v>0.425084253915224</v>
      </c>
      <c r="F72" s="6" t="n">
        <v>3.32679326754791</v>
      </c>
      <c r="G72" s="7" t="n">
        <f aca="false">(F72/58.6934)/(D72/40.078)*1000000</f>
        <v>32.6782364586759</v>
      </c>
      <c r="H72" s="7" t="n">
        <f aca="false">(E72/58.9332)/(D72/40.078)*1000000</f>
        <v>4.15850338949586</v>
      </c>
      <c r="I72" s="8" t="n">
        <v>594.20269853471</v>
      </c>
      <c r="J72" s="8" t="n">
        <v>4798.32015247224</v>
      </c>
      <c r="K72" s="8" t="n">
        <v>34120.7587093478</v>
      </c>
      <c r="L72" s="8" t="n">
        <v>620.50955868826</v>
      </c>
      <c r="M72" s="8" t="n">
        <v>121.829262443408</v>
      </c>
      <c r="N72" s="8" t="n">
        <v>946.617907482653</v>
      </c>
      <c r="O72" s="8" t="n">
        <v>9.70618051323566</v>
      </c>
      <c r="P72" s="8" t="n">
        <v>0.232705786518055</v>
      </c>
      <c r="Q72" s="8" t="n">
        <v>0.958575226326567</v>
      </c>
      <c r="R72" s="8" t="n">
        <v>0.510212931398794</v>
      </c>
      <c r="S72" s="8" t="n">
        <v>1447.64783817508</v>
      </c>
      <c r="T72" s="8" t="n">
        <v>0.515691104458718</v>
      </c>
      <c r="U72" s="8" t="n">
        <v>1.53794556969315</v>
      </c>
      <c r="V72" s="8" t="n">
        <v>0.93919105071639</v>
      </c>
      <c r="W72" s="8" t="n">
        <v>0.332519919048734</v>
      </c>
      <c r="X72" s="8" t="n">
        <v>77.0182075850452</v>
      </c>
      <c r="Y72" s="8" t="n">
        <v>0.101221411640005</v>
      </c>
      <c r="Z72" s="8" t="n">
        <v>-0.0358544109233597</v>
      </c>
      <c r="AA72" s="8" t="n">
        <v>0.00278103597442412</v>
      </c>
      <c r="AB72" s="8" t="n">
        <v>0.00210166476255935</v>
      </c>
      <c r="AC72" s="8" t="n">
        <v>0.0131636745624993</v>
      </c>
      <c r="AD72" s="8" t="n">
        <v>0.124925812270501</v>
      </c>
      <c r="AE72" s="8" t="n">
        <v>187.815143670469</v>
      </c>
      <c r="AF72" s="8" t="n">
        <v>0.0737676655274204</v>
      </c>
      <c r="AG72" s="8" t="n">
        <v>0.143692672805669</v>
      </c>
      <c r="AH72" s="8" t="n">
        <v>0.169408020160897</v>
      </c>
      <c r="AI72" s="8" t="n">
        <v>-0.00139297007051727</v>
      </c>
      <c r="AJ72" s="8" t="n">
        <v>0.165630474506081</v>
      </c>
      <c r="AK72" s="8" t="n">
        <v>0.00249306581979783</v>
      </c>
      <c r="AL72" s="8" t="n">
        <v>0.536083235471051</v>
      </c>
    </row>
    <row r="73" customFormat="false" ht="15" hidden="false" customHeight="false" outlineLevel="0" collapsed="false">
      <c r="A73" s="2" t="s">
        <v>109</v>
      </c>
      <c r="B73" s="3" t="n">
        <v>10</v>
      </c>
      <c r="C73" s="4" t="n">
        <v>0</v>
      </c>
      <c r="D73" s="5" t="n">
        <v>67344.7492669571</v>
      </c>
      <c r="E73" s="6" t="n">
        <v>0.418282483381848</v>
      </c>
      <c r="F73" s="6" t="n">
        <v>3.24953785068082</v>
      </c>
      <c r="G73" s="7" t="n">
        <f aca="false">(F73/58.6934)/(D73/40.078)*1000000</f>
        <v>32.9484229676303</v>
      </c>
      <c r="H73" s="7" t="n">
        <f aca="false">(E73/58.9332)/(D73/40.078)*1000000</f>
        <v>4.22388373071313</v>
      </c>
      <c r="I73" s="8" t="n">
        <v>539.140696333609</v>
      </c>
      <c r="J73" s="8" t="n">
        <v>3997.34322870842</v>
      </c>
      <c r="K73" s="8" t="n">
        <v>34371.0850066725</v>
      </c>
      <c r="L73" s="8" t="n">
        <v>535.497345651195</v>
      </c>
      <c r="M73" s="8" t="n">
        <v>10.4091459324318</v>
      </c>
      <c r="N73" s="8" t="n">
        <v>819.94661726695</v>
      </c>
      <c r="O73" s="8" t="n">
        <v>8.36701986453946</v>
      </c>
      <c r="P73" s="8" t="n">
        <v>0.213122946361185</v>
      </c>
      <c r="Q73" s="8" t="n">
        <v>0.849888016500267</v>
      </c>
      <c r="R73" s="8" t="n">
        <v>0.215274653200063</v>
      </c>
      <c r="S73" s="8" t="n">
        <v>1429.29252963357</v>
      </c>
      <c r="T73" s="8" t="n">
        <v>0.356343427776654</v>
      </c>
      <c r="U73" s="8" t="n">
        <v>1.13462571659915</v>
      </c>
      <c r="V73" s="8" t="n">
        <v>0.632898357974989</v>
      </c>
      <c r="W73" s="8" t="n">
        <v>0.290317446940865</v>
      </c>
      <c r="X73" s="8" t="n">
        <v>77.9100428248134</v>
      </c>
      <c r="Y73" s="8" t="n">
        <v>0.090548531572049</v>
      </c>
      <c r="Z73" s="8" t="n">
        <v>-0.0323319541274618</v>
      </c>
      <c r="AA73" s="8" t="n">
        <v>0.00368540699579719</v>
      </c>
      <c r="AB73" s="8" t="n">
        <v>0.00641573344382096</v>
      </c>
      <c r="AC73" s="8" t="n">
        <v>0.0113649523629801</v>
      </c>
      <c r="AD73" s="8" t="n">
        <v>0.102408110777967</v>
      </c>
      <c r="AE73" s="8" t="n">
        <v>182.683496185642</v>
      </c>
      <c r="AF73" s="8" t="n">
        <v>0.0635797353844986</v>
      </c>
      <c r="AG73" s="8" t="n">
        <v>0.113812509507213</v>
      </c>
      <c r="AH73" s="8" t="n">
        <v>0.153388413961657</v>
      </c>
      <c r="AI73" s="8" t="n">
        <v>-0.00219178523107024</v>
      </c>
      <c r="AJ73" s="8" t="n">
        <v>0.183865055611124</v>
      </c>
      <c r="AK73" s="8" t="n">
        <v>0.00382606726427905</v>
      </c>
      <c r="AL73" s="8" t="n">
        <v>0.533758915171998</v>
      </c>
    </row>
    <row r="74" customFormat="false" ht="15" hidden="false" customHeight="false" outlineLevel="0" collapsed="false">
      <c r="A74" s="2" t="s">
        <v>110</v>
      </c>
      <c r="B74" s="3" t="n">
        <v>12</v>
      </c>
      <c r="C74" s="4" t="n">
        <v>0</v>
      </c>
      <c r="D74" s="5" t="n">
        <v>67412.5404105716</v>
      </c>
      <c r="E74" s="6" t="n">
        <v>0.450186986124149</v>
      </c>
      <c r="F74" s="6" t="n">
        <v>3.174040722452</v>
      </c>
      <c r="G74" s="7" t="n">
        <f aca="false">(F74/58.6934)/(D74/40.078)*1000000</f>
        <v>32.1505623454</v>
      </c>
      <c r="H74" s="7" t="n">
        <f aca="false">(E74/58.9332)/(D74/40.078)*1000000</f>
        <v>4.54148893394582</v>
      </c>
      <c r="I74" s="8" t="n">
        <v>793.526672584961</v>
      </c>
      <c r="J74" s="8" t="n">
        <v>4523.68047091361</v>
      </c>
      <c r="K74" s="8" t="n">
        <v>33482.8388321066</v>
      </c>
      <c r="L74" s="8" t="n">
        <v>664.604250926232</v>
      </c>
      <c r="M74" s="8" t="n">
        <v>26.0590821537483</v>
      </c>
      <c r="N74" s="8" t="n">
        <v>800.911034388678</v>
      </c>
      <c r="O74" s="8" t="n">
        <v>10.2356299528626</v>
      </c>
      <c r="P74" s="8" t="n">
        <v>0.267221652004177</v>
      </c>
      <c r="Q74" s="8" t="n">
        <v>1.06836666672555</v>
      </c>
      <c r="R74" s="8" t="n">
        <v>0.55728169713173</v>
      </c>
      <c r="S74" s="8" t="n">
        <v>1450.46876850909</v>
      </c>
      <c r="T74" s="8" t="n">
        <v>0.366163585384391</v>
      </c>
      <c r="U74" s="8" t="n">
        <v>1.48149969070303</v>
      </c>
      <c r="V74" s="8" t="n">
        <v>0.803642972303389</v>
      </c>
      <c r="W74" s="8" t="n">
        <v>0.296183729564044</v>
      </c>
      <c r="X74" s="8" t="n">
        <v>75.0884810637761</v>
      </c>
      <c r="Y74" s="8" t="n">
        <v>0.101148619433165</v>
      </c>
      <c r="Z74" s="8" t="n">
        <v>-0.0258357638641566</v>
      </c>
      <c r="AA74" s="8" t="n">
        <v>0.00515041574046334</v>
      </c>
      <c r="AB74" s="8" t="n">
        <v>0.0125710354460538</v>
      </c>
      <c r="AC74" s="8" t="n">
        <v>0.019107162836905</v>
      </c>
      <c r="AD74" s="8" t="n">
        <v>0.125772386014968</v>
      </c>
      <c r="AE74" s="8" t="n">
        <v>178.688510680774</v>
      </c>
      <c r="AF74" s="8" t="n">
        <v>0.081780628387049</v>
      </c>
      <c r="AG74" s="8" t="n">
        <v>0.146108329472655</v>
      </c>
      <c r="AH74" s="8" t="n">
        <v>0.21028835516736</v>
      </c>
      <c r="AI74" s="8" t="n">
        <v>-0.000453099374332727</v>
      </c>
      <c r="AJ74" s="8" t="n">
        <v>0.156223518031866</v>
      </c>
      <c r="AK74" s="8" t="n">
        <v>0.00826520588115394</v>
      </c>
      <c r="AL74" s="8" t="n">
        <v>0.548547259700725</v>
      </c>
    </row>
    <row r="75" customFormat="false" ht="15" hidden="false" customHeight="false" outlineLevel="0" collapsed="false">
      <c r="A75" s="2" t="s">
        <v>111</v>
      </c>
      <c r="B75" s="3" t="n">
        <v>13</v>
      </c>
      <c r="C75" s="4" t="n">
        <v>0</v>
      </c>
      <c r="D75" s="5" t="n">
        <v>68473.7005152394</v>
      </c>
      <c r="E75" s="6" t="n">
        <v>0.417665722228406</v>
      </c>
      <c r="F75" s="6" t="n">
        <v>3.16156288193867</v>
      </c>
      <c r="G75" s="7" t="n">
        <f aca="false">(F75/58.6934)/(D75/40.078)*1000000</f>
        <v>31.5278821103152</v>
      </c>
      <c r="H75" s="7" t="n">
        <f aca="false">(E75/58.9332)/(D75/40.078)*1000000</f>
        <v>4.14811752866306</v>
      </c>
      <c r="I75" s="8" t="n">
        <v>679.810386912579</v>
      </c>
      <c r="J75" s="8" t="n">
        <v>4083.18471915345</v>
      </c>
      <c r="K75" s="8" t="n">
        <v>34272.432628995</v>
      </c>
      <c r="L75" s="8" t="n">
        <v>584.996371181422</v>
      </c>
      <c r="M75" s="8" t="n">
        <v>152.637787727916</v>
      </c>
      <c r="N75" s="8" t="n">
        <v>809.438593963727</v>
      </c>
      <c r="O75" s="8" t="n">
        <v>9.41361181730834</v>
      </c>
      <c r="P75" s="8" t="n">
        <v>0.246826764263936</v>
      </c>
      <c r="Q75" s="8" t="n">
        <v>0.907129938780594</v>
      </c>
      <c r="R75" s="8" t="n">
        <v>1.90851731394247</v>
      </c>
      <c r="S75" s="8" t="n">
        <v>1424.96927950723</v>
      </c>
      <c r="T75" s="8" t="n">
        <v>0.481345818087625</v>
      </c>
      <c r="U75" s="8" t="n">
        <v>4.12117448515558</v>
      </c>
      <c r="V75" s="8" t="n">
        <v>0.737764901452303</v>
      </c>
      <c r="W75" s="8" t="n">
        <v>0.295053847427284</v>
      </c>
      <c r="X75" s="8" t="n">
        <v>75.6722175030672</v>
      </c>
      <c r="Y75" s="8" t="n">
        <v>0.113786433426039</v>
      </c>
      <c r="Z75" s="8" t="n">
        <v>-0.0428663771772649</v>
      </c>
      <c r="AA75" s="8" t="n">
        <v>0.00349891894758996</v>
      </c>
      <c r="AB75" s="8" t="n">
        <v>0.000480299310973014</v>
      </c>
      <c r="AC75" s="8" t="n">
        <v>0.0162982870735255</v>
      </c>
      <c r="AD75" s="8" t="n">
        <v>0.117116345127851</v>
      </c>
      <c r="AE75" s="8" t="n">
        <v>182.590129585858</v>
      </c>
      <c r="AF75" s="8" t="n">
        <v>0.0873440722245625</v>
      </c>
      <c r="AG75" s="8" t="n">
        <v>0.168914099802085</v>
      </c>
      <c r="AH75" s="8" t="n">
        <v>0.174399052857998</v>
      </c>
      <c r="AI75" s="8" t="n">
        <v>-5.16760746752121E-005</v>
      </c>
      <c r="AJ75" s="8" t="n">
        <v>0.376447285030857</v>
      </c>
      <c r="AK75" s="8" t="n">
        <v>0.00957304891238398</v>
      </c>
      <c r="AL75" s="8" t="n">
        <v>0.572984848874688</v>
      </c>
    </row>
    <row r="76" customFormat="false" ht="15" hidden="false" customHeight="false" outlineLevel="0" collapsed="false">
      <c r="A76" s="2" t="s">
        <v>112</v>
      </c>
      <c r="B76" s="3" t="n">
        <v>13</v>
      </c>
      <c r="C76" s="4" t="n">
        <v>0</v>
      </c>
      <c r="D76" s="5" t="n">
        <v>68424.3915517265</v>
      </c>
      <c r="E76" s="6" t="n">
        <v>0.416814712502686</v>
      </c>
      <c r="F76" s="6" t="n">
        <v>3.20622762490978</v>
      </c>
      <c r="G76" s="7" t="n">
        <f aca="false">(F76/58.6934)/(D76/40.078)*1000000</f>
        <v>31.9963309543529</v>
      </c>
      <c r="H76" s="7" t="n">
        <f aca="false">(E76/58.9332)/(D76/40.078)*1000000</f>
        <v>4.14264876712164</v>
      </c>
      <c r="I76" s="8" t="n">
        <v>613.65257213315</v>
      </c>
      <c r="J76" s="8" t="n">
        <v>4000.89181650995</v>
      </c>
      <c r="K76" s="8" t="n">
        <v>34037.889026107</v>
      </c>
      <c r="L76" s="8" t="n">
        <v>526.333903285564</v>
      </c>
      <c r="M76" s="8" t="n">
        <v>21.2947619206484</v>
      </c>
      <c r="N76" s="8" t="n">
        <v>815.343092462768</v>
      </c>
      <c r="O76" s="8" t="n">
        <v>8.35012832270964</v>
      </c>
      <c r="P76" s="8" t="n">
        <v>0.220042053306351</v>
      </c>
      <c r="Q76" s="8" t="n">
        <v>0.816727568680221</v>
      </c>
      <c r="R76" s="8" t="n">
        <v>0.506823475473413</v>
      </c>
      <c r="S76" s="8" t="n">
        <v>1448.52321894184</v>
      </c>
      <c r="T76" s="8" t="n">
        <v>0.340336011735419</v>
      </c>
      <c r="U76" s="8" t="n">
        <v>1.11055332636781</v>
      </c>
      <c r="V76" s="8" t="n">
        <v>0.761188463150411</v>
      </c>
      <c r="W76" s="8" t="n">
        <v>0.301777288110362</v>
      </c>
      <c r="X76" s="8" t="n">
        <v>76.2964050225966</v>
      </c>
      <c r="Y76" s="8" t="n">
        <v>0.0947177651730426</v>
      </c>
      <c r="Z76" s="8" t="n">
        <v>-0.0353157606414652</v>
      </c>
      <c r="AA76" s="8" t="n">
        <v>0.00420643326525358</v>
      </c>
      <c r="AB76" s="8" t="n">
        <v>0.00365520656643739</v>
      </c>
      <c r="AC76" s="8" t="n">
        <v>0.0143185746835685</v>
      </c>
      <c r="AD76" s="8" t="n">
        <v>0.100703864513767</v>
      </c>
      <c r="AE76" s="8" t="n">
        <v>176.018400268024</v>
      </c>
      <c r="AF76" s="8" t="n">
        <v>0.0620373147072366</v>
      </c>
      <c r="AG76" s="8" t="n">
        <v>0.121733794697238</v>
      </c>
      <c r="AH76" s="8" t="n">
        <v>0.169579939897598</v>
      </c>
      <c r="AI76" s="8" t="n">
        <v>-0.000436426996288317</v>
      </c>
      <c r="AJ76" s="8" t="n">
        <v>0.150049509993585</v>
      </c>
      <c r="AK76" s="8" t="n">
        <v>0.00364137029285574</v>
      </c>
      <c r="AL76" s="8" t="n">
        <v>0.556581615697439</v>
      </c>
    </row>
    <row r="77" customFormat="false" ht="15" hidden="false" customHeight="false" outlineLevel="0" collapsed="false">
      <c r="A77" s="2" t="s">
        <v>113</v>
      </c>
      <c r="B77" s="3" t="n">
        <v>11</v>
      </c>
      <c r="C77" s="4" t="n">
        <v>0</v>
      </c>
      <c r="D77" s="5" t="n">
        <v>67769.7974783841</v>
      </c>
      <c r="E77" s="6" t="n">
        <v>0.410625573023071</v>
      </c>
      <c r="F77" s="6" t="n">
        <v>3.18271966027148</v>
      </c>
      <c r="G77" s="7" t="n">
        <f aca="false">(F77/58.6934)/(D77/40.078)*1000000</f>
        <v>32.0685240378089</v>
      </c>
      <c r="H77" s="7" t="n">
        <f aca="false">(E77/58.9332)/(D77/40.078)*1000000</f>
        <v>4.12055601846417</v>
      </c>
      <c r="I77" s="8" t="n">
        <v>736.669531683142</v>
      </c>
      <c r="J77" s="8" t="n">
        <v>4380.73758451983</v>
      </c>
      <c r="K77" s="8" t="n">
        <v>34003.315616392</v>
      </c>
      <c r="L77" s="8" t="n">
        <v>607.224662310991</v>
      </c>
      <c r="M77" s="8" t="n">
        <v>16.5297072821622</v>
      </c>
      <c r="N77" s="8" t="n">
        <v>810.469698411195</v>
      </c>
      <c r="O77" s="8" t="n">
        <v>9.40941825506216</v>
      </c>
      <c r="P77" s="8" t="n">
        <v>0.23249973687573</v>
      </c>
      <c r="Q77" s="8" t="n">
        <v>0.958608233700739</v>
      </c>
      <c r="R77" s="8" t="n">
        <v>0.411476308229868</v>
      </c>
      <c r="S77" s="8" t="n">
        <v>1435.117556115</v>
      </c>
      <c r="T77" s="8" t="n">
        <v>0.366427152173216</v>
      </c>
      <c r="U77" s="8" t="n">
        <v>1.08180519237667</v>
      </c>
      <c r="V77" s="8" t="n">
        <v>0.64072130589366</v>
      </c>
      <c r="W77" s="8" t="n">
        <v>0.287580936565158</v>
      </c>
      <c r="X77" s="8" t="n">
        <v>74.4403576797789</v>
      </c>
      <c r="Y77" s="8" t="n">
        <v>0.110865447440465</v>
      </c>
      <c r="Z77" s="8" t="n">
        <v>-0.0319892380979681</v>
      </c>
      <c r="AA77" s="8" t="n">
        <v>0.00418857494859864</v>
      </c>
      <c r="AB77" s="8" t="n">
        <v>0.0111183936031649</v>
      </c>
      <c r="AC77" s="8" t="n">
        <v>0.00960334444035172</v>
      </c>
      <c r="AD77" s="8" t="n">
        <v>0.1163577739916</v>
      </c>
      <c r="AE77" s="8" t="n">
        <v>176.208221263088</v>
      </c>
      <c r="AF77" s="8" t="n">
        <v>0.0722942019667705</v>
      </c>
      <c r="AG77" s="8" t="n">
        <v>0.132588689514148</v>
      </c>
      <c r="AH77" s="8" t="n">
        <v>0.167433940213689</v>
      </c>
      <c r="AI77" s="8" t="n">
        <v>-0.00149776681977261</v>
      </c>
      <c r="AJ77" s="8" t="n">
        <v>0.152438502793866</v>
      </c>
      <c r="AK77" s="8" t="n">
        <v>0.00758623363908894</v>
      </c>
      <c r="AL77" s="8" t="n">
        <v>0.578060642524528</v>
      </c>
    </row>
    <row r="78" customFormat="false" ht="15" hidden="false" customHeight="false" outlineLevel="0" collapsed="false">
      <c r="A78" s="2" t="s">
        <v>114</v>
      </c>
      <c r="B78" s="3" t="n">
        <v>10</v>
      </c>
      <c r="C78" s="4" t="n">
        <v>0</v>
      </c>
      <c r="D78" s="5" t="n">
        <v>67462.0814239696</v>
      </c>
      <c r="E78" s="6" t="n">
        <v>0.424531319747443</v>
      </c>
      <c r="F78" s="6" t="n">
        <v>3.56558554249616</v>
      </c>
      <c r="G78" s="7" t="n">
        <f aca="false">(F78/58.6934)/(D78/40.078)*1000000</f>
        <v>36.0900843003497</v>
      </c>
      <c r="H78" s="7" t="n">
        <f aca="false">(E78/58.9332)/(D78/40.078)*1000000</f>
        <v>4.27952942553397</v>
      </c>
      <c r="I78" s="8" t="n">
        <v>794.932259671216</v>
      </c>
      <c r="J78" s="8" t="n">
        <v>4825.75921224543</v>
      </c>
      <c r="K78" s="8" t="n">
        <v>33744.2920042464</v>
      </c>
      <c r="L78" s="8" t="n">
        <v>644.004239379182</v>
      </c>
      <c r="M78" s="8" t="n">
        <v>29.2840506096165</v>
      </c>
      <c r="N78" s="8" t="n">
        <v>1123.80421031117</v>
      </c>
      <c r="O78" s="8" t="n">
        <v>9.994523566245</v>
      </c>
      <c r="P78" s="8" t="n">
        <v>0.257964529466085</v>
      </c>
      <c r="Q78" s="8" t="n">
        <v>1.0722642076627</v>
      </c>
      <c r="R78" s="8" t="n">
        <v>0.922638809916092</v>
      </c>
      <c r="S78" s="8" t="n">
        <v>1399.22334744236</v>
      </c>
      <c r="T78" s="8" t="n">
        <v>0.753257368906979</v>
      </c>
      <c r="U78" s="8" t="n">
        <v>2.33108239140165</v>
      </c>
      <c r="V78" s="8" t="n">
        <v>1.05155915229226</v>
      </c>
      <c r="W78" s="8" t="n">
        <v>0.460315962257999</v>
      </c>
      <c r="X78" s="8" t="n">
        <v>74.4210967463405</v>
      </c>
      <c r="Y78" s="8" t="n">
        <v>0.107573647271432</v>
      </c>
      <c r="Z78" s="8" t="n">
        <v>-0.0334835051352907</v>
      </c>
      <c r="AA78" s="8" t="n">
        <v>0.00793926863940684</v>
      </c>
      <c r="AB78" s="8" t="n">
        <v>0.0164946737115385</v>
      </c>
      <c r="AC78" s="8" t="n">
        <v>0.0213218965616881</v>
      </c>
      <c r="AD78" s="8" t="n">
        <v>0.131209475483089</v>
      </c>
      <c r="AE78" s="8" t="n">
        <v>176.997681188025</v>
      </c>
      <c r="AF78" s="8" t="n">
        <v>0.0743294111421507</v>
      </c>
      <c r="AG78" s="8" t="n">
        <v>0.158907423677182</v>
      </c>
      <c r="AH78" s="8" t="n">
        <v>0.166098563456185</v>
      </c>
      <c r="AI78" s="8" t="n">
        <v>-0.000797485882398332</v>
      </c>
      <c r="AJ78" s="8" t="n">
        <v>0.437748366688815</v>
      </c>
      <c r="AK78" s="8" t="n">
        <v>0.00551659649297055</v>
      </c>
      <c r="AL78" s="8" t="n">
        <v>0.553516686992988</v>
      </c>
    </row>
    <row r="79" customFormat="false" ht="15" hidden="false" customHeight="false" outlineLevel="0" collapsed="false">
      <c r="A79" s="2" t="s">
        <v>115</v>
      </c>
      <c r="B79" s="3" t="n">
        <v>9</v>
      </c>
      <c r="C79" s="4" t="n">
        <v>0</v>
      </c>
      <c r="D79" s="5" t="n">
        <v>71646.3145855165</v>
      </c>
      <c r="E79" s="6" t="n">
        <v>0.494635449664138</v>
      </c>
      <c r="F79" s="6" t="n">
        <v>3.26925239568669</v>
      </c>
      <c r="G79" s="7" t="n">
        <f aca="false">(F79/58.6934)/(D79/40.078)*1000000</f>
        <v>31.1581287707973</v>
      </c>
      <c r="H79" s="7" t="n">
        <f aca="false">(E79/58.9332)/(D79/40.078)*1000000</f>
        <v>4.69501949791066</v>
      </c>
      <c r="I79" s="8" t="n">
        <v>690.284816462568</v>
      </c>
      <c r="J79" s="8" t="n">
        <v>4047.52172135604</v>
      </c>
      <c r="K79" s="8" t="n">
        <v>35575.6590470826</v>
      </c>
      <c r="L79" s="8" t="n">
        <v>607.994958234389</v>
      </c>
      <c r="M79" s="8" t="n">
        <v>44.4892532406367</v>
      </c>
      <c r="N79" s="8" t="n">
        <v>1005.14486010667</v>
      </c>
      <c r="O79" s="8" t="n">
        <v>10.3443233526284</v>
      </c>
      <c r="P79" s="8" t="n">
        <v>0.263444303037961</v>
      </c>
      <c r="Q79" s="8" t="n">
        <v>0.722578555316108</v>
      </c>
      <c r="R79" s="8" t="n">
        <v>0.590432316437669</v>
      </c>
      <c r="S79" s="8" t="n">
        <v>1529.69634231127</v>
      </c>
      <c r="T79" s="8" t="n">
        <v>0.430619542567077</v>
      </c>
      <c r="U79" s="8" t="n">
        <v>1.36118945729402</v>
      </c>
      <c r="V79" s="8" t="n">
        <v>0.729440508336156</v>
      </c>
      <c r="W79" s="8" t="n">
        <v>0.454283768385027</v>
      </c>
      <c r="X79" s="8" t="n">
        <v>79.3772468337979</v>
      </c>
      <c r="Y79" s="8" t="n">
        <v>0.0903436629221322</v>
      </c>
      <c r="Z79" s="8" t="n">
        <v>-0.0121615009238808</v>
      </c>
      <c r="AA79" s="8" t="n">
        <v>0.00459358223385598</v>
      </c>
      <c r="AB79" s="8" t="n">
        <v>0.0105302078644216</v>
      </c>
      <c r="AC79" s="8" t="n">
        <v>0.017445053760788</v>
      </c>
      <c r="AD79" s="8" t="n">
        <v>0.137741445579002</v>
      </c>
      <c r="AE79" s="8" t="n">
        <v>188.870559112782</v>
      </c>
      <c r="AF79" s="8" t="n">
        <v>0.0738667137445775</v>
      </c>
      <c r="AG79" s="8" t="n">
        <v>0.164405814613913</v>
      </c>
      <c r="AH79" s="8" t="n">
        <v>0.157498223446184</v>
      </c>
      <c r="AI79" s="8" t="n">
        <v>0.000135223900377873</v>
      </c>
      <c r="AJ79" s="8" t="n">
        <v>0.226556990321388</v>
      </c>
      <c r="AK79" s="8" t="n">
        <v>0.0119948267468051</v>
      </c>
      <c r="AL79" s="8" t="n">
        <v>0.565839734759369</v>
      </c>
    </row>
    <row r="80" customFormat="false" ht="15" hidden="false" customHeight="false" outlineLevel="0" collapsed="false">
      <c r="A80" s="2" t="s">
        <v>116</v>
      </c>
      <c r="B80" s="3" t="n">
        <v>18.5</v>
      </c>
      <c r="C80" s="4" t="n">
        <v>0</v>
      </c>
      <c r="D80" s="5" t="n">
        <v>69355.3382766347</v>
      </c>
      <c r="E80" s="6" t="n">
        <v>0.481677329596522</v>
      </c>
      <c r="F80" s="6" t="n">
        <v>3.54033281585558</v>
      </c>
      <c r="G80" s="7" t="n">
        <f aca="false">(F80/58.6934)/(D80/40.078)*1000000</f>
        <v>34.8562746642</v>
      </c>
      <c r="H80" s="7" t="n">
        <f aca="false">(E80/58.9332)/(D80/40.078)*1000000</f>
        <v>4.7230476782809</v>
      </c>
      <c r="I80" s="8" t="n">
        <v>703.856787010217</v>
      </c>
      <c r="J80" s="8" t="n">
        <v>3973.18739950378</v>
      </c>
      <c r="K80" s="8" t="n">
        <v>34133.3404399199</v>
      </c>
      <c r="L80" s="8" t="n">
        <v>556.853104056133</v>
      </c>
      <c r="M80" s="8" t="n">
        <v>41.2074428223155</v>
      </c>
      <c r="N80" s="8" t="n">
        <v>907.582673426623</v>
      </c>
      <c r="O80" s="8" t="n">
        <v>9.40899597702597</v>
      </c>
      <c r="P80" s="8" t="n">
        <v>0.258481345488417</v>
      </c>
      <c r="Q80" s="8" t="n">
        <v>0.744298534219168</v>
      </c>
      <c r="R80" s="8" t="n">
        <v>1.49284043370633</v>
      </c>
      <c r="S80" s="8" t="n">
        <v>1463.76216312415</v>
      </c>
      <c r="T80" s="8" t="n">
        <v>0.407497435656925</v>
      </c>
      <c r="U80" s="8" t="n">
        <v>1.95385458101665</v>
      </c>
      <c r="V80" s="8" t="n">
        <v>1.01886042706634</v>
      </c>
      <c r="W80" s="8" t="n">
        <v>0.365768586473817</v>
      </c>
      <c r="X80" s="8" t="n">
        <v>78.7717468226629</v>
      </c>
      <c r="Y80" s="8" t="n">
        <v>0.0919889070808286</v>
      </c>
      <c r="Z80" s="8" t="n">
        <v>-0.0309881056060836</v>
      </c>
      <c r="AA80" s="8" t="n">
        <v>0.00326055568546743</v>
      </c>
      <c r="AB80" s="8" t="n">
        <v>0.00152905754056102</v>
      </c>
      <c r="AC80" s="8" t="n">
        <v>0.0177295368437499</v>
      </c>
      <c r="AD80" s="8" t="n">
        <v>0.118226149082339</v>
      </c>
      <c r="AE80" s="8" t="n">
        <v>192.580582492203</v>
      </c>
      <c r="AF80" s="8" t="n">
        <v>0.0696332022731294</v>
      </c>
      <c r="AG80" s="8" t="n">
        <v>0.15857892274773</v>
      </c>
      <c r="AH80" s="8" t="n">
        <v>0.147881336737273</v>
      </c>
      <c r="AI80" s="8" t="n">
        <v>-0.00106678841650319</v>
      </c>
      <c r="AJ80" s="8" t="n">
        <v>0.190333767230401</v>
      </c>
      <c r="AK80" s="8" t="n">
        <v>0.00257987793380841</v>
      </c>
      <c r="AL80" s="8" t="n">
        <v>0.575058658839767</v>
      </c>
    </row>
    <row r="81" customFormat="false" ht="15" hidden="false" customHeight="false" outlineLevel="0" collapsed="false">
      <c r="A81" s="2" t="s">
        <v>117</v>
      </c>
      <c r="B81" s="3" t="n">
        <v>26</v>
      </c>
      <c r="C81" s="4" t="n">
        <v>0</v>
      </c>
      <c r="D81" s="5" t="n">
        <v>69959.0431869797</v>
      </c>
      <c r="E81" s="6" t="n">
        <v>0.407935418067181</v>
      </c>
      <c r="F81" s="6" t="n">
        <v>3.25795286014089</v>
      </c>
      <c r="G81" s="7" t="n">
        <f aca="false">(F81/58.6934)/(D81/40.078)*1000000</f>
        <v>31.7993108304249</v>
      </c>
      <c r="H81" s="7" t="n">
        <f aca="false">(E81/58.9332)/(D81/40.078)*1000000</f>
        <v>3.96545996864262</v>
      </c>
      <c r="I81" s="8" t="n">
        <v>638.405949367178</v>
      </c>
      <c r="J81" s="8" t="n">
        <v>3823.07445407224</v>
      </c>
      <c r="K81" s="8" t="n">
        <v>34337.1397100821</v>
      </c>
      <c r="L81" s="8" t="n">
        <v>521.932021831674</v>
      </c>
      <c r="M81" s="8" t="n">
        <v>25.0893447688012</v>
      </c>
      <c r="N81" s="8" t="n">
        <v>871.491101273653</v>
      </c>
      <c r="O81" s="8" t="n">
        <v>8.66262114343962</v>
      </c>
      <c r="P81" s="8" t="n">
        <v>0.264358106433818</v>
      </c>
      <c r="Q81" s="8" t="n">
        <v>0.661777871974733</v>
      </c>
      <c r="R81" s="8" t="n">
        <v>0.367125003504192</v>
      </c>
      <c r="S81" s="8" t="n">
        <v>1438.61956531111</v>
      </c>
      <c r="T81" s="8" t="n">
        <v>0.338771053208343</v>
      </c>
      <c r="U81" s="8" t="n">
        <v>1.08983024914988</v>
      </c>
      <c r="V81" s="8" t="n">
        <v>0.67083934498325</v>
      </c>
      <c r="W81" s="8" t="n">
        <v>0.332583963323199</v>
      </c>
      <c r="X81" s="8" t="n">
        <v>79.8211812789041</v>
      </c>
      <c r="Y81" s="8" t="n">
        <v>0.0793865309002114</v>
      </c>
      <c r="Z81" s="8" t="n">
        <v>-0.0327528960457256</v>
      </c>
      <c r="AA81" s="8" t="n">
        <v>0.00121834055155516</v>
      </c>
      <c r="AB81" s="8" t="n">
        <v>0.00423176194775933</v>
      </c>
      <c r="AC81" s="8" t="n">
        <v>0.019966458498483</v>
      </c>
      <c r="AD81" s="8" t="n">
        <v>0.120653424458194</v>
      </c>
      <c r="AE81" s="8" t="n">
        <v>193.50662648228</v>
      </c>
      <c r="AF81" s="8" t="n">
        <v>0.0629348287896324</v>
      </c>
      <c r="AG81" s="8" t="n">
        <v>0.118306122857947</v>
      </c>
      <c r="AH81" s="8" t="n">
        <v>0.121985580134524</v>
      </c>
      <c r="AI81" s="8" t="n">
        <v>-0.000672583143377242</v>
      </c>
      <c r="AJ81" s="8" t="n">
        <v>0.151700839955947</v>
      </c>
      <c r="AK81" s="8" t="n">
        <v>0.00302402682312844</v>
      </c>
      <c r="AL81" s="8" t="n">
        <v>0.5771000823292</v>
      </c>
    </row>
    <row r="82" customFormat="false" ht="15" hidden="false" customHeight="false" outlineLevel="0" collapsed="false">
      <c r="A82" s="2" t="s">
        <v>118</v>
      </c>
      <c r="B82" s="3" t="n">
        <v>26</v>
      </c>
      <c r="C82" s="4" t="n">
        <v>0</v>
      </c>
      <c r="D82" s="5" t="n">
        <v>70893.3746555551</v>
      </c>
      <c r="E82" s="6" t="n">
        <v>0.434992022532496</v>
      </c>
      <c r="F82" s="6" t="n">
        <v>3.72222152417965</v>
      </c>
      <c r="G82" s="7" t="n">
        <f aca="false">(F82/58.6934)/(D82/40.078)*1000000</f>
        <v>35.8519959679578</v>
      </c>
      <c r="H82" s="7" t="n">
        <f aca="false">(E82/58.9332)/(D82/40.078)*1000000</f>
        <v>4.17274321692593</v>
      </c>
      <c r="I82" s="8" t="n">
        <v>537.828160185915</v>
      </c>
      <c r="J82" s="8" t="n">
        <v>3528.90158771742</v>
      </c>
      <c r="K82" s="8" t="n">
        <v>35326.5141828095</v>
      </c>
      <c r="L82" s="8" t="n">
        <v>416.835946280782</v>
      </c>
      <c r="M82" s="8" t="n">
        <v>11.6694413950324</v>
      </c>
      <c r="N82" s="8" t="n">
        <v>973.218796520813</v>
      </c>
      <c r="O82" s="8" t="n">
        <v>7.54128053802609</v>
      </c>
      <c r="P82" s="8" t="n">
        <v>0.256204968551068</v>
      </c>
      <c r="Q82" s="8" t="n">
        <v>0.61085202762364</v>
      </c>
      <c r="R82" s="8" t="n">
        <v>0.343269538480752</v>
      </c>
      <c r="S82" s="8" t="n">
        <v>1456.91475101512</v>
      </c>
      <c r="T82" s="8" t="n">
        <v>0.399355152832283</v>
      </c>
      <c r="U82" s="8" t="n">
        <v>0.813604250203113</v>
      </c>
      <c r="V82" s="8" t="n">
        <v>0.901050080169793</v>
      </c>
      <c r="W82" s="8" t="n">
        <v>0.358666539586767</v>
      </c>
      <c r="X82" s="8" t="n">
        <v>82.0779988067753</v>
      </c>
      <c r="Y82" s="8" t="n">
        <v>0.0707035589855707</v>
      </c>
      <c r="Z82" s="8" t="n">
        <v>-0.0315972823155808</v>
      </c>
      <c r="AA82" s="8" t="n">
        <v>-0.000772582917565673</v>
      </c>
      <c r="AB82" s="8" t="n">
        <v>0.00486407615384195</v>
      </c>
      <c r="AC82" s="8" t="n">
        <v>0.0169588917103235</v>
      </c>
      <c r="AD82" s="8" t="n">
        <v>0.101281252111397</v>
      </c>
      <c r="AE82" s="8" t="n">
        <v>197.532398207397</v>
      </c>
      <c r="AF82" s="8" t="n">
        <v>0.050602027532363</v>
      </c>
      <c r="AG82" s="8" t="n">
        <v>0.10272880926826</v>
      </c>
      <c r="AH82" s="8" t="n">
        <v>0.107004077470135</v>
      </c>
      <c r="AI82" s="8" t="n">
        <v>-0.00150670643169993</v>
      </c>
      <c r="AJ82" s="8" t="n">
        <v>0.144942016512614</v>
      </c>
      <c r="AK82" s="8" t="n">
        <v>-0.000118209322071355</v>
      </c>
      <c r="AL82" s="8" t="n">
        <v>0.578699248978257</v>
      </c>
    </row>
    <row r="83" customFormat="false" ht="15" hidden="false" customHeight="false" outlineLevel="0" collapsed="false">
      <c r="A83" s="2" t="s">
        <v>119</v>
      </c>
      <c r="B83" s="3" t="n">
        <v>13</v>
      </c>
      <c r="C83" s="4" t="n">
        <v>0</v>
      </c>
      <c r="D83" s="5" t="n">
        <v>68301.3177735407</v>
      </c>
      <c r="E83" s="6" t="n">
        <v>0.427837348676278</v>
      </c>
      <c r="F83" s="6" t="n">
        <v>3.26895764785672</v>
      </c>
      <c r="G83" s="7" t="n">
        <f aca="false">(F83/58.6934)/(D83/40.078)*1000000</f>
        <v>32.6811239369052</v>
      </c>
      <c r="H83" s="7" t="n">
        <f aca="false">(E83/58.9332)/(D83/40.078)*1000000</f>
        <v>4.25986296892777</v>
      </c>
      <c r="I83" s="8" t="n">
        <v>624.613760414108</v>
      </c>
      <c r="J83" s="8" t="n">
        <v>3754.5539441897</v>
      </c>
      <c r="K83" s="8" t="n">
        <v>33912.9358491516</v>
      </c>
      <c r="L83" s="8" t="n">
        <v>473.071136753798</v>
      </c>
      <c r="M83" s="8" t="n">
        <v>19.2588024165382</v>
      </c>
      <c r="N83" s="8" t="n">
        <v>867.703769317521</v>
      </c>
      <c r="O83" s="8" t="n">
        <v>7.67305094997304</v>
      </c>
      <c r="P83" s="8" t="n">
        <v>0.246743356268684</v>
      </c>
      <c r="Q83" s="8" t="n">
        <v>0.606597455788239</v>
      </c>
      <c r="R83" s="8" t="n">
        <v>0.289611708395213</v>
      </c>
      <c r="S83" s="8" t="n">
        <v>1425.57060846916</v>
      </c>
      <c r="T83" s="8" t="n">
        <v>0.360774463172215</v>
      </c>
      <c r="U83" s="8" t="n">
        <v>0.829999689144596</v>
      </c>
      <c r="V83" s="8" t="n">
        <v>0.672050351671405</v>
      </c>
      <c r="W83" s="8" t="n">
        <v>0.329659256298572</v>
      </c>
      <c r="X83" s="8" t="n">
        <v>77.4848467016699</v>
      </c>
      <c r="Y83" s="8" t="n">
        <v>0.0782202145273557</v>
      </c>
      <c r="Z83" s="8" t="n">
        <v>-0.0336087160788305</v>
      </c>
      <c r="AA83" s="8" t="n">
        <v>0.00266222151324523</v>
      </c>
      <c r="AB83" s="8" t="n">
        <v>-0.000545598665688873</v>
      </c>
      <c r="AC83" s="8" t="n">
        <v>0.0656887784519341</v>
      </c>
      <c r="AD83" s="8" t="n">
        <v>0.117491713854633</v>
      </c>
      <c r="AE83" s="8" t="n">
        <v>185.354468112149</v>
      </c>
      <c r="AF83" s="8" t="n">
        <v>0.057525837141831</v>
      </c>
      <c r="AG83" s="8" t="n">
        <v>0.120100425173032</v>
      </c>
      <c r="AH83" s="8" t="n">
        <v>0.12039201613348</v>
      </c>
      <c r="AI83" s="8" t="n">
        <v>-0.00161600488213622</v>
      </c>
      <c r="AJ83" s="8" t="n">
        <v>0.121963292806228</v>
      </c>
      <c r="AK83" s="8" t="n">
        <v>0.000491205351749022</v>
      </c>
      <c r="AL83" s="8" t="n">
        <v>0.543048966586225</v>
      </c>
    </row>
    <row r="84" customFormat="false" ht="15" hidden="false" customHeight="false" outlineLevel="0" collapsed="false">
      <c r="A84" s="2" t="s">
        <v>120</v>
      </c>
      <c r="B84" s="3" t="n">
        <v>11.5</v>
      </c>
      <c r="C84" s="4" t="n">
        <v>0</v>
      </c>
      <c r="D84" s="5" t="n">
        <v>68920.6267011908</v>
      </c>
      <c r="E84" s="6" t="n">
        <v>0.450069834104148</v>
      </c>
      <c r="F84" s="6" t="n">
        <v>3.24741210226594</v>
      </c>
      <c r="G84" s="7" t="n">
        <f aca="false">(F84/58.6934)/(D84/40.078)*1000000</f>
        <v>32.1739927634733</v>
      </c>
      <c r="H84" s="7" t="n">
        <f aca="false">(E84/58.9332)/(D84/40.078)*1000000</f>
        <v>4.44095840031592</v>
      </c>
      <c r="I84" s="8" t="n">
        <v>534.295344880381</v>
      </c>
      <c r="J84" s="8" t="n">
        <v>3428.68910844645</v>
      </c>
      <c r="K84" s="8" t="n">
        <v>35020.3323380058</v>
      </c>
      <c r="L84" s="8" t="n">
        <v>434.168383956915</v>
      </c>
      <c r="M84" s="8" t="n">
        <v>16.8705947192557</v>
      </c>
      <c r="N84" s="8" t="n">
        <v>866.220483311575</v>
      </c>
      <c r="O84" s="8" t="n">
        <v>7.73496173488774</v>
      </c>
      <c r="P84" s="8" t="n">
        <v>0.235121107416714</v>
      </c>
      <c r="Q84" s="8" t="n">
        <v>0.571587733322272</v>
      </c>
      <c r="R84" s="8" t="n">
        <v>0.237248814062753</v>
      </c>
      <c r="S84" s="8" t="n">
        <v>1398.7519975283</v>
      </c>
      <c r="T84" s="8" t="n">
        <v>0.277027973597161</v>
      </c>
      <c r="U84" s="8" t="n">
        <v>1.36859681949868</v>
      </c>
      <c r="V84" s="8" t="n">
        <v>0.695098677896647</v>
      </c>
      <c r="W84" s="8" t="n">
        <v>0.30879605442925</v>
      </c>
      <c r="X84" s="8" t="n">
        <v>78.8894846245075</v>
      </c>
      <c r="Y84" s="8" t="n">
        <v>0.0648991210943083</v>
      </c>
      <c r="Z84" s="8" t="n">
        <v>-0.0396457720602897</v>
      </c>
      <c r="AA84" s="8" t="n">
        <v>0.00181995518030732</v>
      </c>
      <c r="AB84" s="8" t="n">
        <v>0.00433981203238573</v>
      </c>
      <c r="AC84" s="8" t="n">
        <v>0.045367458277621</v>
      </c>
      <c r="AD84" s="8" t="n">
        <v>0.104500861182518</v>
      </c>
      <c r="AE84" s="8" t="n">
        <v>185.333410603207</v>
      </c>
      <c r="AF84" s="8" t="n">
        <v>0.0517750666389152</v>
      </c>
      <c r="AG84" s="8" t="n">
        <v>0.107755842464222</v>
      </c>
      <c r="AH84" s="8" t="n">
        <v>0.113396793759883</v>
      </c>
      <c r="AI84" s="8" t="n">
        <v>-0.00054024907223326</v>
      </c>
      <c r="AJ84" s="8" t="n">
        <v>0.110826660196063</v>
      </c>
      <c r="AK84" s="8" t="n">
        <v>0.000890611379897209</v>
      </c>
      <c r="AL84" s="8" t="n">
        <v>0.572583153161228</v>
      </c>
    </row>
    <row r="85" customFormat="false" ht="15" hidden="false" customHeight="false" outlineLevel="0" collapsed="false">
      <c r="A85" s="2" t="s">
        <v>121</v>
      </c>
      <c r="B85" s="3" t="n">
        <v>12</v>
      </c>
      <c r="C85" s="4" t="n">
        <v>0</v>
      </c>
      <c r="D85" s="5" t="n">
        <v>68603.1608562952</v>
      </c>
      <c r="E85" s="6" t="n">
        <v>0.419138492969508</v>
      </c>
      <c r="F85" s="6" t="n">
        <v>3.07275334424603</v>
      </c>
      <c r="G85" s="7" t="n">
        <f aca="false">(F85/58.6934)/(D85/40.078)*1000000</f>
        <v>30.5844268852412</v>
      </c>
      <c r="H85" s="7" t="n">
        <f aca="false">(E85/58.9332)/(D85/40.078)*1000000</f>
        <v>4.15488912570988</v>
      </c>
      <c r="I85" s="8" t="n">
        <v>650.298614731502</v>
      </c>
      <c r="J85" s="8" t="n">
        <v>3771.53589002691</v>
      </c>
      <c r="K85" s="8" t="n">
        <v>33921.5407035512</v>
      </c>
      <c r="L85" s="8" t="n">
        <v>503.118850731414</v>
      </c>
      <c r="M85" s="8" t="n">
        <v>22.1165326855925</v>
      </c>
      <c r="N85" s="8" t="n">
        <v>810.743024484765</v>
      </c>
      <c r="O85" s="8" t="n">
        <v>8.27662668712322</v>
      </c>
      <c r="P85" s="8" t="n">
        <v>0.235988495842666</v>
      </c>
      <c r="Q85" s="8" t="n">
        <v>0.585805483300395</v>
      </c>
      <c r="R85" s="8" t="n">
        <v>0.166406829944032</v>
      </c>
      <c r="S85" s="8" t="n">
        <v>1409.35352524858</v>
      </c>
      <c r="T85" s="8" t="n">
        <v>0.277161175002969</v>
      </c>
      <c r="U85" s="8" t="n">
        <v>0.707843489071557</v>
      </c>
      <c r="V85" s="8" t="n">
        <v>0.65931721280766</v>
      </c>
      <c r="W85" s="8" t="n">
        <v>0.295388443312543</v>
      </c>
      <c r="X85" s="8" t="n">
        <v>76.7834717789259</v>
      </c>
      <c r="Y85" s="8" t="n">
        <v>0.0670945025255744</v>
      </c>
      <c r="Z85" s="8" t="n">
        <v>-0.0301034529843806</v>
      </c>
      <c r="AA85" s="8" t="n">
        <v>0.00231761022790384</v>
      </c>
      <c r="AB85" s="8" t="n">
        <v>0.00637930664061237</v>
      </c>
      <c r="AC85" s="8" t="n">
        <v>0.0225112694416463</v>
      </c>
      <c r="AD85" s="8" t="n">
        <v>0.11312948840039</v>
      </c>
      <c r="AE85" s="8" t="n">
        <v>178.239374733039</v>
      </c>
      <c r="AF85" s="8" t="n">
        <v>0.0609840765338136</v>
      </c>
      <c r="AG85" s="8" t="n">
        <v>0.132807769083833</v>
      </c>
      <c r="AH85" s="8" t="n">
        <v>0.150645496912016</v>
      </c>
      <c r="AI85" s="8" t="n">
        <v>-0.00119473370396083</v>
      </c>
      <c r="AJ85" s="8" t="n">
        <v>0.138034199420526</v>
      </c>
      <c r="AK85" s="8" t="n">
        <v>-0.000828732501567641</v>
      </c>
      <c r="AL85" s="8" t="n">
        <v>0.560951454937679</v>
      </c>
    </row>
    <row r="86" customFormat="false" ht="15" hidden="false" customHeight="false" outlineLevel="0" collapsed="false">
      <c r="A86" s="2" t="s">
        <v>122</v>
      </c>
      <c r="B86" s="3" t="n">
        <v>12</v>
      </c>
      <c r="C86" s="4" t="n">
        <v>0</v>
      </c>
      <c r="D86" s="5" t="n">
        <v>69012.9024843553</v>
      </c>
      <c r="E86" s="6" t="n">
        <v>0.410483732873164</v>
      </c>
      <c r="F86" s="6" t="n">
        <v>3.02095840828648</v>
      </c>
      <c r="G86" s="7" t="n">
        <f aca="false">(F86/58.6934)/(D86/40.078)*1000000</f>
        <v>29.8903655197578</v>
      </c>
      <c r="H86" s="7" t="n">
        <f aca="false">(E86/58.9332)/(D86/40.078)*1000000</f>
        <v>4.04493619711373</v>
      </c>
      <c r="I86" s="8" t="n">
        <v>753.736572805306</v>
      </c>
      <c r="J86" s="8" t="n">
        <v>4004.26441103006</v>
      </c>
      <c r="K86" s="8" t="n">
        <v>34062.8212293456</v>
      </c>
      <c r="L86" s="8" t="n">
        <v>554.193868146619</v>
      </c>
      <c r="M86" s="8" t="n">
        <v>22.7966176301192</v>
      </c>
      <c r="N86" s="8" t="n">
        <v>823.389788951846</v>
      </c>
      <c r="O86" s="8" t="n">
        <v>11.9511563576719</v>
      </c>
      <c r="P86" s="8" t="n">
        <v>0.244045001588039</v>
      </c>
      <c r="Q86" s="8" t="n">
        <v>0.680005685967709</v>
      </c>
      <c r="R86" s="8" t="n">
        <v>0.297489057364667</v>
      </c>
      <c r="S86" s="8" t="n">
        <v>1378.78520322638</v>
      </c>
      <c r="T86" s="8" t="n">
        <v>0.329375833720237</v>
      </c>
      <c r="U86" s="8" t="n">
        <v>0.920863149051293</v>
      </c>
      <c r="V86" s="8" t="n">
        <v>0.631265631097209</v>
      </c>
      <c r="W86" s="8" t="n">
        <v>0.317973117474146</v>
      </c>
      <c r="X86" s="8" t="n">
        <v>76.8929087582103</v>
      </c>
      <c r="Y86" s="8" t="n">
        <v>0.0758398805527681</v>
      </c>
      <c r="Z86" s="8" t="n">
        <v>-0.0275364346450383</v>
      </c>
      <c r="AA86" s="8" t="n">
        <v>0.00152023282945692</v>
      </c>
      <c r="AB86" s="8" t="n">
        <v>0.00746475877756186</v>
      </c>
      <c r="AC86" s="8" t="n">
        <v>0.0148427106777447</v>
      </c>
      <c r="AD86" s="8" t="n">
        <v>0.120727904737495</v>
      </c>
      <c r="AE86" s="8" t="n">
        <v>174.71199119146</v>
      </c>
      <c r="AF86" s="8" t="n">
        <v>0.0664630908095387</v>
      </c>
      <c r="AG86" s="8" t="n">
        <v>0.141005660868277</v>
      </c>
      <c r="AH86" s="8" t="n">
        <v>0.145363882743178</v>
      </c>
      <c r="AI86" s="8" t="n">
        <v>-0.000926785188480788</v>
      </c>
      <c r="AJ86" s="8" t="n">
        <v>0.129345864207301</v>
      </c>
      <c r="AK86" s="8" t="n">
        <v>0.000640371601093886</v>
      </c>
      <c r="AL86" s="8" t="n">
        <v>0.547376568789149</v>
      </c>
    </row>
    <row r="87" customFormat="false" ht="15" hidden="false" customHeight="false" outlineLevel="0" collapsed="false">
      <c r="A87" s="2" t="s">
        <v>123</v>
      </c>
      <c r="B87" s="3" t="n">
        <v>11</v>
      </c>
      <c r="C87" s="4" t="n">
        <v>0</v>
      </c>
      <c r="D87" s="5" t="n">
        <v>68042.8942964616</v>
      </c>
      <c r="E87" s="6" t="n">
        <v>0.400576049568169</v>
      </c>
      <c r="F87" s="6" t="n">
        <v>3.02984208253091</v>
      </c>
      <c r="G87" s="7" t="n">
        <f aca="false">(F87/58.6934)/(D87/40.078)*1000000</f>
        <v>30.4056286830214</v>
      </c>
      <c r="H87" s="7" t="n">
        <f aca="false">(E87/58.9332)/(D87/40.078)*1000000</f>
        <v>4.00357730021487</v>
      </c>
      <c r="I87" s="8" t="n">
        <v>560.157569733306</v>
      </c>
      <c r="J87" s="8" t="n">
        <v>3428.50548091688</v>
      </c>
      <c r="K87" s="8" t="n">
        <v>34350.6465321001</v>
      </c>
      <c r="L87" s="8" t="n">
        <v>400.973913289713</v>
      </c>
      <c r="M87" s="8" t="n">
        <v>11.5367441375867</v>
      </c>
      <c r="N87" s="8" t="n">
        <v>808.622677569159</v>
      </c>
      <c r="O87" s="8" t="n">
        <v>7.32628910754698</v>
      </c>
      <c r="P87" s="8" t="n">
        <v>0.21478633667028</v>
      </c>
      <c r="Q87" s="8" t="n">
        <v>0.531942117424732</v>
      </c>
      <c r="R87" s="8" t="n">
        <v>0.070350802112253</v>
      </c>
      <c r="S87" s="8" t="n">
        <v>1412.84035222506</v>
      </c>
      <c r="T87" s="8" t="n">
        <v>0.400404953171893</v>
      </c>
      <c r="U87" s="8" t="n">
        <v>0.850769358052594</v>
      </c>
      <c r="V87" s="8" t="n">
        <v>0.620375959479022</v>
      </c>
      <c r="W87" s="8" t="n">
        <v>0.280319080025411</v>
      </c>
      <c r="X87" s="8" t="n">
        <v>75.4446953311982</v>
      </c>
      <c r="Y87" s="8" t="n">
        <v>0.0596459324485985</v>
      </c>
      <c r="Z87" s="8" t="n">
        <v>-0.036767647660838</v>
      </c>
      <c r="AA87" s="8" t="n">
        <v>0.0021118322861743</v>
      </c>
      <c r="AB87" s="8" t="n">
        <v>0.00439254001400219</v>
      </c>
      <c r="AC87" s="8" t="n">
        <v>0.0143364560282302</v>
      </c>
      <c r="AD87" s="8" t="n">
        <v>0.0905275605080466</v>
      </c>
      <c r="AE87" s="8" t="n">
        <v>174.569728671958</v>
      </c>
      <c r="AF87" s="8" t="n">
        <v>0.0469111430625335</v>
      </c>
      <c r="AG87" s="8" t="n">
        <v>0.0986191931477658</v>
      </c>
      <c r="AH87" s="8" t="n">
        <v>0.110434348490925</v>
      </c>
      <c r="AI87" s="8" t="n">
        <v>-0.00162933040898111</v>
      </c>
      <c r="AJ87" s="8" t="n">
        <v>0.1114326279331</v>
      </c>
      <c r="AK87" s="8" t="n">
        <v>-0.00259641622995504</v>
      </c>
      <c r="AL87" s="8" t="n">
        <v>0.598900790154411</v>
      </c>
    </row>
    <row r="88" customFormat="false" ht="15" hidden="false" customHeight="false" outlineLevel="0" collapsed="false">
      <c r="A88" s="2" t="s">
        <v>124</v>
      </c>
      <c r="B88" s="3"/>
      <c r="C88" s="4"/>
      <c r="D88" s="5" t="n">
        <v>68104.6803181075</v>
      </c>
      <c r="E88" s="6" t="n">
        <v>0.404016992566063</v>
      </c>
      <c r="F88" s="6" t="n">
        <v>3.11529674101112</v>
      </c>
      <c r="G88" s="7" t="n">
        <f aca="false">(F88/58.6934)/(D88/40.078)*1000000</f>
        <v>31.2348363510142</v>
      </c>
      <c r="H88" s="7" t="n">
        <f aca="false">(E88/58.9332)/(D88/40.078)*1000000</f>
        <v>4.03430464571807</v>
      </c>
      <c r="I88" s="8" t="n">
        <v>591.034000787694</v>
      </c>
      <c r="J88" s="8" t="n">
        <v>3441.40431907559</v>
      </c>
      <c r="K88" s="8" t="n">
        <v>33922.8123574383</v>
      </c>
      <c r="L88" s="8" t="n">
        <v>436.593270785546</v>
      </c>
      <c r="M88" s="8" t="n">
        <v>14.5713538275182</v>
      </c>
      <c r="N88" s="8" t="n">
        <v>817.991304180741</v>
      </c>
      <c r="O88" s="8" t="n">
        <v>7.65322076954522</v>
      </c>
      <c r="P88" s="8" t="n">
        <v>0.208371845502564</v>
      </c>
      <c r="Q88" s="8" t="n">
        <v>0.506422072572232</v>
      </c>
      <c r="R88" s="8" t="n">
        <v>0.122120444495523</v>
      </c>
      <c r="S88" s="8" t="n">
        <v>1364.55868392419</v>
      </c>
      <c r="T88" s="8" t="n">
        <v>0.319872187955277</v>
      </c>
      <c r="U88" s="8" t="n">
        <v>0.854167247428068</v>
      </c>
      <c r="V88" s="8" t="n">
        <v>0.585565794137819</v>
      </c>
      <c r="W88" s="8" t="n">
        <v>0.283701818186049</v>
      </c>
      <c r="X88" s="8" t="n">
        <v>75.0047832384257</v>
      </c>
      <c r="Y88" s="8" t="n">
        <v>0.0670758385411253</v>
      </c>
      <c r="Z88" s="8" t="n">
        <v>-0.0436896393679116</v>
      </c>
      <c r="AA88" s="8" t="n">
        <v>-0.00044549202882027</v>
      </c>
      <c r="AB88" s="8" t="n">
        <v>0.000599275906736634</v>
      </c>
      <c r="AC88" s="8" t="n">
        <v>0.0142176324018927</v>
      </c>
      <c r="AD88" s="8" t="n">
        <v>0.104125391323575</v>
      </c>
      <c r="AE88" s="8" t="n">
        <v>171.928293580585</v>
      </c>
      <c r="AF88" s="8" t="n">
        <v>0.0556181981562792</v>
      </c>
      <c r="AG88" s="8" t="n">
        <v>0.103638422753258</v>
      </c>
      <c r="AH88" s="8" t="n">
        <v>0.124804387790784</v>
      </c>
      <c r="AI88" s="8" t="n">
        <v>-0.000124188730154215</v>
      </c>
      <c r="AJ88" s="8" t="n">
        <v>0.111145998030954</v>
      </c>
      <c r="AK88" s="8" t="n">
        <v>-0.0027892184545353</v>
      </c>
      <c r="AL88" s="8" t="n">
        <v>0.574496011498305</v>
      </c>
    </row>
    <row r="89" customFormat="false" ht="15" hidden="false" customHeight="false" outlineLevel="0" collapsed="false">
      <c r="A89" s="2" t="s">
        <v>125</v>
      </c>
      <c r="B89" s="3"/>
      <c r="C89" s="4"/>
      <c r="D89" s="5" t="n">
        <v>69681.5471895292</v>
      </c>
      <c r="E89" s="6" t="n">
        <v>0.442732224205118</v>
      </c>
      <c r="F89" s="6" t="n">
        <v>3.27204721717688</v>
      </c>
      <c r="G89" s="7" t="n">
        <f aca="false">(F89/58.6934)/(D89/40.078)*1000000</f>
        <v>32.0640627575991</v>
      </c>
      <c r="H89" s="7" t="n">
        <f aca="false">(E89/58.9332)/(D89/40.078)*1000000</f>
        <v>4.32085174918179</v>
      </c>
      <c r="I89" s="8" t="n">
        <v>643.737898591007</v>
      </c>
      <c r="J89" s="8" t="n">
        <v>3642.17374025999</v>
      </c>
      <c r="K89" s="8" t="n">
        <v>34662.597715542</v>
      </c>
      <c r="L89" s="8" t="n">
        <v>473.415463928672</v>
      </c>
      <c r="M89" s="8" t="n">
        <v>11.3569125046084</v>
      </c>
      <c r="N89" s="8" t="n">
        <v>824.346567803426</v>
      </c>
      <c r="O89" s="8" t="n">
        <v>8.64038379149199</v>
      </c>
      <c r="P89" s="8" t="n">
        <v>0.260790506737432</v>
      </c>
      <c r="Q89" s="8" t="n">
        <v>0.573348691818869</v>
      </c>
      <c r="R89" s="8" t="n">
        <v>0.168210854588097</v>
      </c>
      <c r="S89" s="8" t="n">
        <v>1446.93696894463</v>
      </c>
      <c r="T89" s="8" t="n">
        <v>0.264313368710023</v>
      </c>
      <c r="U89" s="8" t="n">
        <v>0.717503239572743</v>
      </c>
      <c r="V89" s="8" t="n">
        <v>0.598263713199998</v>
      </c>
      <c r="W89" s="8" t="n">
        <v>0.321858523405998</v>
      </c>
      <c r="X89" s="8" t="n">
        <v>78.7881610594719</v>
      </c>
      <c r="Y89" s="8" t="n">
        <v>0.073799472290733</v>
      </c>
      <c r="Z89" s="8" t="n">
        <v>-0.0192245504045269</v>
      </c>
      <c r="AA89" s="8" t="n">
        <v>0.00184630067434772</v>
      </c>
      <c r="AB89" s="8" t="n">
        <v>0.0113649187602045</v>
      </c>
      <c r="AC89" s="8" t="n">
        <v>0.00935493110267338</v>
      </c>
      <c r="AD89" s="8" t="n">
        <v>0.111996682663482</v>
      </c>
      <c r="AE89" s="8" t="n">
        <v>176.728390606076</v>
      </c>
      <c r="AF89" s="8" t="n">
        <v>0.0599539733077245</v>
      </c>
      <c r="AG89" s="8" t="n">
        <v>0.110419980746266</v>
      </c>
      <c r="AH89" s="8" t="n">
        <v>0.12211871732379</v>
      </c>
      <c r="AI89" s="8" t="n">
        <v>-0.000796336479388793</v>
      </c>
      <c r="AJ89" s="8" t="n">
        <v>0.118526663776294</v>
      </c>
      <c r="AK89" s="8" t="n">
        <v>1.39177965340061E-005</v>
      </c>
      <c r="AL89" s="8" t="n">
        <v>0.58141423348784</v>
      </c>
    </row>
    <row r="90" customFormat="false" ht="15" hidden="false" customHeight="false" outlineLevel="0" collapsed="false">
      <c r="A90" s="2" t="s">
        <v>126</v>
      </c>
      <c r="B90" s="3"/>
      <c r="C90" s="4"/>
      <c r="D90" s="5" t="n">
        <v>68987.0546317414</v>
      </c>
      <c r="E90" s="6" t="n">
        <v>0.431614676914483</v>
      </c>
      <c r="F90" s="6" t="n">
        <v>3.14369870785059</v>
      </c>
      <c r="G90" s="7" t="n">
        <f aca="false">(F90/58.6934)/(D90/40.078)*1000000</f>
        <v>31.1164530444331</v>
      </c>
      <c r="H90" s="7" t="n">
        <f aca="false">(E90/58.9332)/(D90/40.078)*1000000</f>
        <v>4.2547555993347</v>
      </c>
      <c r="I90" s="8" t="n">
        <v>591.985027491197</v>
      </c>
      <c r="J90" s="8" t="n">
        <v>3510.10888173247</v>
      </c>
      <c r="K90" s="8" t="n">
        <v>34219.6649611231</v>
      </c>
      <c r="L90" s="8" t="n">
        <v>428.566444758849</v>
      </c>
      <c r="M90" s="8" t="n">
        <v>22.4682347607254</v>
      </c>
      <c r="N90" s="8" t="n">
        <v>825.270626076551</v>
      </c>
      <c r="O90" s="8" t="n">
        <v>7.412172522488</v>
      </c>
      <c r="P90" s="8" t="n">
        <v>0.232656670267945</v>
      </c>
      <c r="Q90" s="8" t="n">
        <v>0.629860707800489</v>
      </c>
      <c r="R90" s="8" t="n">
        <v>0.726129780850273</v>
      </c>
      <c r="S90" s="8" t="n">
        <v>1460.25373776822</v>
      </c>
      <c r="T90" s="8" t="n">
        <v>0.694020327913636</v>
      </c>
      <c r="U90" s="8" t="n">
        <v>1.05632495504058</v>
      </c>
      <c r="V90" s="8" t="n">
        <v>0.677220923891894</v>
      </c>
      <c r="W90" s="8" t="n">
        <v>0.288212952196727</v>
      </c>
      <c r="X90" s="8" t="n">
        <v>76.9449682004717</v>
      </c>
      <c r="Y90" s="8" t="n">
        <v>0.069714949625752</v>
      </c>
      <c r="Z90" s="8" t="n">
        <v>-0.0335166008882353</v>
      </c>
      <c r="AA90" s="8" t="n">
        <v>0.00268715678772298</v>
      </c>
      <c r="AB90" s="8" t="n">
        <v>0.00650825427415149</v>
      </c>
      <c r="AC90" s="8" t="n">
        <v>0.0250291998823644</v>
      </c>
      <c r="AD90" s="8" t="n">
        <v>0.0984154220593281</v>
      </c>
      <c r="AE90" s="8" t="n">
        <v>177.776595631217</v>
      </c>
      <c r="AF90" s="8" t="n">
        <v>0.0530714486082535</v>
      </c>
      <c r="AG90" s="8" t="n">
        <v>0.109439343114194</v>
      </c>
      <c r="AH90" s="8" t="n">
        <v>0.119815828160828</v>
      </c>
      <c r="AI90" s="8" t="n">
        <v>-0.00120057212501357</v>
      </c>
      <c r="AJ90" s="8" t="n">
        <v>0.233996128944096</v>
      </c>
      <c r="AK90" s="8" t="n">
        <v>-0.00315880919160943</v>
      </c>
      <c r="AL90" s="8" t="n">
        <v>0.591563507315777</v>
      </c>
    </row>
    <row r="91" customFormat="false" ht="15" hidden="false" customHeight="false" outlineLevel="0" collapsed="false">
      <c r="A91" s="2" t="s">
        <v>127</v>
      </c>
      <c r="B91" s="3"/>
      <c r="C91" s="4"/>
      <c r="D91" s="5" t="n">
        <v>69328.1498901636</v>
      </c>
      <c r="E91" s="6" t="n">
        <v>0.421815549078889</v>
      </c>
      <c r="F91" s="6" t="n">
        <v>4.02765439743346</v>
      </c>
      <c r="G91" s="7" t="n">
        <f aca="false">(F91/58.6934)/(D91/40.078)*1000000</f>
        <v>39.6697405386623</v>
      </c>
      <c r="H91" s="7" t="n">
        <f aca="false">(E91/58.9332)/(D91/40.078)*1000000</f>
        <v>4.1376999267411</v>
      </c>
      <c r="I91" s="8" t="n">
        <v>623.82405361616</v>
      </c>
      <c r="J91" s="8" t="n">
        <v>4180.03576385963</v>
      </c>
      <c r="K91" s="8" t="n">
        <v>34800.3299025558</v>
      </c>
      <c r="L91" s="8" t="n">
        <v>432.972067176176</v>
      </c>
      <c r="M91" s="8" t="n">
        <v>21.0935925084381</v>
      </c>
      <c r="N91" s="8" t="n">
        <v>1634.36545642841</v>
      </c>
      <c r="O91" s="8" t="n">
        <v>7.83538532959913</v>
      </c>
      <c r="P91" s="8" t="n">
        <v>0.248254471459227</v>
      </c>
      <c r="Q91" s="8" t="n">
        <v>0.617593427016398</v>
      </c>
      <c r="R91" s="8" t="n">
        <v>0.840438369584346</v>
      </c>
      <c r="S91" s="8" t="n">
        <v>1376.35475645472</v>
      </c>
      <c r="T91" s="8" t="n">
        <v>1.82606376574399</v>
      </c>
      <c r="U91" s="8" t="n">
        <v>3.45130413873436</v>
      </c>
      <c r="V91" s="8" t="n">
        <v>0.771345987540494</v>
      </c>
      <c r="W91" s="8" t="n">
        <v>0.790383219417242</v>
      </c>
      <c r="X91" s="8" t="n">
        <v>77.8310539143106</v>
      </c>
      <c r="Y91" s="8" t="n">
        <v>0.0713193103364543</v>
      </c>
      <c r="Z91" s="8" t="n">
        <v>-0.0335259148852188</v>
      </c>
      <c r="AA91" s="8" t="n">
        <v>0.00485514460323432</v>
      </c>
      <c r="AB91" s="8" t="n">
        <v>0.0286412774820657</v>
      </c>
      <c r="AC91" s="8" t="n">
        <v>0.0509432806382339</v>
      </c>
      <c r="AD91" s="8" t="n">
        <v>0.113183875611015</v>
      </c>
      <c r="AE91" s="8" t="n">
        <v>176.398378059588</v>
      </c>
      <c r="AF91" s="8" t="n">
        <v>0.0551936291543068</v>
      </c>
      <c r="AG91" s="8" t="n">
        <v>0.111136733695719</v>
      </c>
      <c r="AH91" s="8" t="n">
        <v>0.0883285704126978</v>
      </c>
      <c r="AI91" s="8" t="n">
        <v>-0.000523625573362241</v>
      </c>
      <c r="AJ91" s="8" t="n">
        <v>0.247887782071003</v>
      </c>
      <c r="AK91" s="8" t="n">
        <v>-0.00479231813553606</v>
      </c>
      <c r="AL91" s="8" t="n">
        <v>0.599576035954541</v>
      </c>
    </row>
    <row r="92" customFormat="false" ht="15" hidden="false" customHeight="false" outlineLevel="0" collapsed="false">
      <c r="A92" s="2" t="s">
        <v>128</v>
      </c>
      <c r="B92" s="3"/>
      <c r="C92" s="4"/>
      <c r="D92" s="5" t="n">
        <v>74026.4395463925</v>
      </c>
      <c r="E92" s="6" t="n">
        <v>0.232785856726</v>
      </c>
      <c r="F92" s="6" t="n">
        <v>1.96430339346396</v>
      </c>
      <c r="G92" s="7" t="n">
        <f aca="false">(F92/58.6934)/(D92/40.078)*1000000</f>
        <v>18.1191774444153</v>
      </c>
      <c r="H92" s="7" t="n">
        <f aca="false">(E92/58.9332)/(D92/40.078)*1000000</f>
        <v>2.13853196678478</v>
      </c>
      <c r="I92" s="8" t="n">
        <v>932.236395601379</v>
      </c>
      <c r="J92" s="8" t="n">
        <v>2988.42229587552</v>
      </c>
      <c r="K92" s="8" t="n">
        <v>35732.3971325923</v>
      </c>
      <c r="L92" s="8" t="n">
        <v>337.166122073058</v>
      </c>
      <c r="M92" s="8" t="n">
        <v>-7.96522406941418</v>
      </c>
      <c r="N92" s="8" t="n">
        <v>811.899794469064</v>
      </c>
      <c r="O92" s="8" t="n">
        <v>5.62106666224268</v>
      </c>
      <c r="P92" s="8" t="n">
        <v>0.197586746692713</v>
      </c>
      <c r="Q92" s="8" t="n">
        <v>0.839355157554493</v>
      </c>
      <c r="R92" s="8" t="n">
        <v>0.741332691591878</v>
      </c>
      <c r="S92" s="8" t="n">
        <v>745.208728595351</v>
      </c>
      <c r="T92" s="8" t="n">
        <v>2.24407930942185</v>
      </c>
      <c r="U92" s="8" t="n">
        <v>1.59928024271944</v>
      </c>
      <c r="V92" s="8" t="n">
        <v>0.978275319010563</v>
      </c>
      <c r="W92" s="8" t="n">
        <v>0.350369636985841</v>
      </c>
      <c r="X92" s="8" t="n">
        <v>79.9844179870789</v>
      </c>
      <c r="Y92" s="8" t="n">
        <v>0.0514794139943734</v>
      </c>
      <c r="Z92" s="8" t="n">
        <v>-0.0391482563178437</v>
      </c>
      <c r="AA92" s="8" t="n">
        <v>0.0243050100055531</v>
      </c>
      <c r="AB92" s="8" t="n">
        <v>0.0152321185711729</v>
      </c>
      <c r="AC92" s="8" t="n">
        <v>0.0196434085204958</v>
      </c>
      <c r="AD92" s="8" t="n">
        <v>0.0850600486150536</v>
      </c>
      <c r="AE92" s="8" t="n">
        <v>193.154973862854</v>
      </c>
      <c r="AF92" s="8" t="n">
        <v>0.048666447727434</v>
      </c>
      <c r="AG92" s="8" t="n">
        <v>0.108427397363732</v>
      </c>
      <c r="AH92" s="8" t="n">
        <v>0.0842340242536681</v>
      </c>
      <c r="AI92" s="8" t="n">
        <v>0.000527344698938368</v>
      </c>
      <c r="AJ92" s="8" t="n">
        <v>0.150699912721924</v>
      </c>
      <c r="AK92" s="8" t="n">
        <v>-0.000136420746476757</v>
      </c>
      <c r="AL92" s="8" t="n">
        <v>0.602673669891536</v>
      </c>
    </row>
    <row r="93" customFormat="false" ht="15" hidden="false" customHeight="false" outlineLevel="0" collapsed="false">
      <c r="A93" s="2" t="s">
        <v>129</v>
      </c>
      <c r="B93" s="3"/>
      <c r="C93" s="4"/>
      <c r="D93" s="5" t="n">
        <v>73434.5066945992</v>
      </c>
      <c r="E93" s="6" t="n">
        <v>0.231770465546066</v>
      </c>
      <c r="F93" s="6" t="n">
        <v>1.75093567385079</v>
      </c>
      <c r="G93" s="7" t="n">
        <f aca="false">(F93/58.6934)/(D93/40.078)*1000000</f>
        <v>16.2812139074561</v>
      </c>
      <c r="H93" s="7" t="n">
        <f aca="false">(E93/58.9332)/(D93/40.078)*1000000</f>
        <v>2.14636673487121</v>
      </c>
      <c r="I93" s="8" t="n">
        <v>1091.91976122265</v>
      </c>
      <c r="J93" s="8" t="n">
        <v>3516.41295756162</v>
      </c>
      <c r="K93" s="8" t="n">
        <v>35289.263572024</v>
      </c>
      <c r="L93" s="8" t="n">
        <v>450.525042007668</v>
      </c>
      <c r="M93" s="8" t="n">
        <v>-8.93382064067543</v>
      </c>
      <c r="N93" s="8" t="n">
        <v>829.946702030735</v>
      </c>
      <c r="O93" s="8" t="n">
        <v>7.25571124279688</v>
      </c>
      <c r="P93" s="8" t="n">
        <v>0.231260169598206</v>
      </c>
      <c r="Q93" s="8" t="n">
        <v>0.982751181502715</v>
      </c>
      <c r="R93" s="8" t="n">
        <v>0.257365429623848</v>
      </c>
      <c r="S93" s="8" t="n">
        <v>696.275377200821</v>
      </c>
      <c r="T93" s="8" t="n">
        <v>2.23925920616624</v>
      </c>
      <c r="U93" s="8" t="n">
        <v>1.86457163343357</v>
      </c>
      <c r="V93" s="8" t="n">
        <v>0.761552419241889</v>
      </c>
      <c r="W93" s="8" t="n">
        <v>0.356344430392639</v>
      </c>
      <c r="X93" s="8" t="n">
        <v>79.1040171978199</v>
      </c>
      <c r="Y93" s="8" t="n">
        <v>0.0648190592882304</v>
      </c>
      <c r="Z93" s="8" t="n">
        <v>-0.0313738562213351</v>
      </c>
      <c r="AA93" s="8" t="n">
        <v>0.0280867424381919</v>
      </c>
      <c r="AB93" s="8" t="n">
        <v>0.0146888576005991</v>
      </c>
      <c r="AC93" s="8" t="n">
        <v>0.0282736544156526</v>
      </c>
      <c r="AD93" s="8" t="n">
        <v>0.114226562227569</v>
      </c>
      <c r="AE93" s="8" t="n">
        <v>201.722130259855</v>
      </c>
      <c r="AF93" s="8" t="n">
        <v>0.0568230033233491</v>
      </c>
      <c r="AG93" s="8" t="n">
        <v>0.115184654549546</v>
      </c>
      <c r="AH93" s="8" t="n">
        <v>0.119714608617144</v>
      </c>
      <c r="AI93" s="8" t="n">
        <v>-0.000278462409704679</v>
      </c>
      <c r="AJ93" s="8" t="n">
        <v>0.204143985063001</v>
      </c>
      <c r="AK93" s="8" t="n">
        <v>0.00123426282049579</v>
      </c>
      <c r="AL93" s="8" t="n">
        <v>0.601318316504375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9" t="s">
        <v>130</v>
      </c>
      <c r="B1" s="9" t="s">
        <v>131</v>
      </c>
      <c r="C1" s="9" t="s">
        <v>132</v>
      </c>
    </row>
    <row r="2" customFormat="false" ht="15" hidden="false" customHeight="false" outlineLevel="0" collapsed="false">
      <c r="A2" s="10" t="s">
        <v>0</v>
      </c>
      <c r="B2" s="10" t="s">
        <v>133</v>
      </c>
      <c r="C2" s="10" t="s">
        <v>134</v>
      </c>
    </row>
    <row r="3" customFormat="false" ht="23.85" hidden="false" customHeight="false" outlineLevel="0" collapsed="false">
      <c r="A3" s="10" t="s">
        <v>1</v>
      </c>
      <c r="B3" s="10" t="s">
        <v>135</v>
      </c>
      <c r="C3" s="10" t="s">
        <v>136</v>
      </c>
    </row>
    <row r="4" customFormat="false" ht="15" hidden="false" customHeight="false" outlineLevel="0" collapsed="false">
      <c r="A4" s="10" t="s">
        <v>2</v>
      </c>
      <c r="B4" s="10" t="s">
        <v>137</v>
      </c>
      <c r="C4" s="10" t="s">
        <v>138</v>
      </c>
    </row>
    <row r="5" customFormat="false" ht="15" hidden="false" customHeight="false" outlineLevel="0" collapsed="false">
      <c r="A5" s="10" t="s">
        <v>3</v>
      </c>
      <c r="B5" s="10" t="s">
        <v>139</v>
      </c>
      <c r="C5" s="10" t="s">
        <v>140</v>
      </c>
    </row>
    <row r="6" customFormat="false" ht="15" hidden="false" customHeight="false" outlineLevel="0" collapsed="false">
      <c r="A6" s="10" t="s">
        <v>4</v>
      </c>
      <c r="B6" s="10" t="s">
        <v>139</v>
      </c>
      <c r="C6" s="10" t="s">
        <v>141</v>
      </c>
    </row>
    <row r="7" customFormat="false" ht="15" hidden="false" customHeight="false" outlineLevel="0" collapsed="false">
      <c r="A7" s="10" t="s">
        <v>5</v>
      </c>
      <c r="B7" s="10" t="s">
        <v>139</v>
      </c>
      <c r="C7" s="10" t="s">
        <v>142</v>
      </c>
    </row>
    <row r="8" customFormat="false" ht="23.85" hidden="false" customHeight="false" outlineLevel="0" collapsed="false">
      <c r="A8" s="10" t="s">
        <v>6</v>
      </c>
      <c r="B8" s="10" t="s">
        <v>143</v>
      </c>
      <c r="C8" s="10" t="s">
        <v>144</v>
      </c>
    </row>
    <row r="9" customFormat="false" ht="23.85" hidden="false" customHeight="false" outlineLevel="0" collapsed="false">
      <c r="A9" s="10" t="s">
        <v>7</v>
      </c>
      <c r="B9" s="10" t="s">
        <v>143</v>
      </c>
      <c r="C9" s="10" t="s">
        <v>145</v>
      </c>
    </row>
    <row r="10" customFormat="false" ht="23.85" hidden="false" customHeight="false" outlineLevel="0" collapsed="false">
      <c r="A10" s="10" t="s">
        <v>146</v>
      </c>
      <c r="B10" s="10" t="s">
        <v>139</v>
      </c>
      <c r="C10" s="10" t="s">
        <v>147</v>
      </c>
    </row>
    <row r="11" customFormat="false" ht="15" hidden="false" customHeight="false" outlineLevel="0" collapsed="false">
      <c r="A11" s="10"/>
      <c r="B11" s="10"/>
      <c r="C11" s="10"/>
    </row>
    <row r="12" customFormat="false" ht="15" hidden="false" customHeight="false" outlineLevel="0" collapsed="false">
      <c r="A12" s="10" t="s">
        <v>148</v>
      </c>
      <c r="B12" s="10" t="s">
        <v>149</v>
      </c>
      <c r="C12" s="10" t="s">
        <v>150</v>
      </c>
    </row>
    <row r="13" customFormat="false" ht="23.85" hidden="false" customHeight="false" outlineLevel="0" collapsed="false">
      <c r="A13" s="10" t="s">
        <v>151</v>
      </c>
      <c r="B13" s="10"/>
      <c r="C13" s="10" t="s">
        <v>152</v>
      </c>
    </row>
    <row r="14" customFormat="false" ht="15" hidden="false" customHeight="false" outlineLevel="0" collapsed="false">
      <c r="A14" s="10" t="s">
        <v>153</v>
      </c>
      <c r="B14" s="10"/>
      <c r="C14" s="1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2026-07-20T21:30:24Z</dcterms:created>
  <dc:creator>openpyxl</dc:creator>
  <dc:description/>
  <dc:language>en-US</dc:language>
  <cp:lastModifiedBy/>
  <dcterms:modified xsi:type="dcterms:W3CDTF">2026-07-20T21:30:24Z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